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23F8FDAC-7FBD-4359-9B24-B41DDF80544F}" xr6:coauthVersionLast="47" xr6:coauthVersionMax="47" xr10:uidLastSave="{00000000-0000-0000-0000-000000000000}"/>
  <bookViews>
    <workbookView xWindow="-110" yWindow="-110" windowWidth="38620" windowHeight="21100" activeTab="2" xr2:uid="{8E4481C6-68E6-4A85-8EF0-99E061D8813D}"/>
  </bookViews>
  <sheets>
    <sheet name="Anleitung!!!" sheetId="15" r:id="rId1"/>
    <sheet name="Blatt1" sheetId="3" r:id="rId2"/>
    <sheet name="Begriffe" sheetId="1" r:id="rId3"/>
    <sheet name="Effekte" sheetId="6" state="veryHidden" r:id="rId4"/>
    <sheet name="Symptome" sheetId="7" state="veryHidden" r:id="rId5"/>
    <sheet name="Faktoren" sheetId="8" state="veryHidden" r:id="rId6"/>
    <sheet name="Funktionen" sheetId="9" state="veryHidden" r:id="rId7"/>
    <sheet name="Blatt2" sheetId="4" state="veryHidden" r:id="rId8"/>
    <sheet name="Blatt3" sheetId="10" state="veryHidden" r:id="rId9"/>
    <sheet name="Blatt4" sheetId="11" state="veryHidden" r:id="rId10"/>
    <sheet name="Blatt5" sheetId="13" state="veryHidden" r:id="rId11"/>
    <sheet name="Blatt6" sheetId="14" state="veryHidden" r:id="rId12"/>
    <sheet name="Filter" sheetId="5" state="veryHidden" r:id="rId13"/>
  </sheets>
  <definedNames>
    <definedName name="_xlnm._FilterDatabase" localSheetId="7" hidden="1">Blatt2!$A$2:$C$484</definedName>
    <definedName name="_xlnm._FilterDatabase" localSheetId="8" hidden="1">Blatt3!$A$2:$D$361</definedName>
    <definedName name="_xlnm._FilterDatabase" localSheetId="9" hidden="1">Blatt4!$A$1:$B$253</definedName>
    <definedName name="_xlnm._FilterDatabase" localSheetId="10" hidden="1">Blatt5!$A$1:$B$307</definedName>
    <definedName name="_xlnm._FilterDatabase" localSheetId="11" hidden="1">Blatt6!$A$1:$H$1</definedName>
    <definedName name="_xlnm._FilterDatabase" localSheetId="12" hidden="1">Filter!$B$1:$B$217</definedName>
    <definedName name="_xlnm._FilterDatabase" localSheetId="4" hidden="1">Symptome!$A$2:$A$49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3" l="1" a="1"/>
  <c r="C18" i="3" s="1"/>
  <c r="C19" i="3" a="1"/>
  <c r="C19" i="3" s="1"/>
  <c r="C20" i="3" a="1"/>
  <c r="C20" i="3" s="1"/>
  <c r="C21" i="3" a="1"/>
  <c r="C21" i="3" s="1"/>
  <c r="C22" i="3" a="1"/>
  <c r="C22" i="3" s="1"/>
  <c r="C23" i="3" a="1"/>
  <c r="C23" i="3" s="1"/>
  <c r="C24" i="3" a="1"/>
  <c r="C24" i="3" s="1"/>
  <c r="C25" i="3" a="1"/>
  <c r="C25" i="3" s="1"/>
  <c r="C26" i="3" a="1"/>
  <c r="C26" i="3" s="1"/>
  <c r="C27" i="3" a="1"/>
  <c r="C27" i="3" s="1"/>
  <c r="C28" i="3" a="1"/>
  <c r="C28" i="3" s="1"/>
  <c r="C29" i="3" a="1"/>
  <c r="C29" i="3" s="1"/>
  <c r="C30" i="3" a="1"/>
  <c r="C30" i="3" s="1"/>
  <c r="C31" i="3" a="1"/>
  <c r="C31" i="3" s="1"/>
  <c r="C32" i="3" a="1"/>
  <c r="C32" i="3" s="1"/>
  <c r="C33" i="3" a="1"/>
  <c r="C33" i="3" s="1"/>
  <c r="C34" i="3" a="1"/>
  <c r="C34" i="3" s="1"/>
  <c r="C35" i="3" a="1"/>
  <c r="C35" i="3" s="1"/>
  <c r="C36" i="3" a="1"/>
  <c r="C36" i="3" s="1"/>
  <c r="C37" i="3" a="1"/>
  <c r="C37" i="3" s="1"/>
  <c r="C38" i="3" a="1"/>
  <c r="C38" i="3" s="1"/>
  <c r="C2" i="4"/>
  <c r="A1" i="5" s="1"/>
  <c r="C3" i="10"/>
  <c r="B2" i="5" s="1"/>
  <c r="C4" i="10"/>
  <c r="B3" i="5" s="1"/>
  <c r="C5" i="10"/>
  <c r="B4" i="5" s="1"/>
  <c r="C6" i="10"/>
  <c r="B5" i="5" s="1"/>
  <c r="C7" i="10"/>
  <c r="B6" i="5" s="1"/>
  <c r="C8" i="10"/>
  <c r="B7" i="5" s="1"/>
  <c r="C9" i="10"/>
  <c r="B8" i="5" s="1"/>
  <c r="C10" i="10"/>
  <c r="B9" i="5" s="1"/>
  <c r="C11" i="10"/>
  <c r="B10" i="5" s="1"/>
  <c r="C12" i="10"/>
  <c r="B11" i="5" s="1"/>
  <c r="C13" i="10"/>
  <c r="B12" i="5" s="1"/>
  <c r="C14" i="10"/>
  <c r="B13" i="5" s="1"/>
  <c r="C15" i="10"/>
  <c r="B14" i="5" s="1"/>
  <c r="C16" i="10"/>
  <c r="B15" i="5" s="1"/>
  <c r="C17" i="10"/>
  <c r="B16" i="5" s="1"/>
  <c r="C18" i="10"/>
  <c r="B17" i="5" s="1"/>
  <c r="C19" i="10"/>
  <c r="B18" i="5" s="1"/>
  <c r="C20" i="10"/>
  <c r="B19" i="5" s="1"/>
  <c r="C21" i="10"/>
  <c r="B20" i="5" s="1"/>
  <c r="C22" i="10"/>
  <c r="B21" i="5" s="1"/>
  <c r="C23" i="10"/>
  <c r="B22" i="5" s="1"/>
  <c r="C24" i="10"/>
  <c r="B23" i="5" s="1"/>
  <c r="C25" i="10"/>
  <c r="B24" i="5" s="1"/>
  <c r="C26" i="10"/>
  <c r="B25" i="5" s="1"/>
  <c r="C27" i="10"/>
  <c r="B26" i="5" s="1"/>
  <c r="C28" i="10"/>
  <c r="B27" i="5" s="1"/>
  <c r="C29" i="10"/>
  <c r="B28" i="5" s="1"/>
  <c r="C30" i="10"/>
  <c r="B29" i="5" s="1"/>
  <c r="C31" i="10"/>
  <c r="B30" i="5" s="1"/>
  <c r="C32" i="10"/>
  <c r="B31" i="5" s="1"/>
  <c r="C33" i="10"/>
  <c r="B32" i="5" s="1"/>
  <c r="C34" i="10"/>
  <c r="B33" i="5" s="1"/>
  <c r="C35" i="10"/>
  <c r="B34" i="5" s="1"/>
  <c r="C36" i="10"/>
  <c r="B35" i="5" s="1"/>
  <c r="C37" i="10"/>
  <c r="B36" i="5" s="1"/>
  <c r="C38" i="10"/>
  <c r="B37" i="5" s="1"/>
  <c r="C39" i="10"/>
  <c r="B38" i="5" s="1"/>
  <c r="C40" i="10"/>
  <c r="B39" i="5" s="1"/>
  <c r="C41" i="10"/>
  <c r="B40" i="5" s="1"/>
  <c r="C42" i="10"/>
  <c r="B41" i="5" s="1"/>
  <c r="C43" i="10"/>
  <c r="B42" i="5" s="1"/>
  <c r="C44" i="10"/>
  <c r="B43" i="5" s="1"/>
  <c r="C45" i="10"/>
  <c r="B44" i="5" s="1"/>
  <c r="C46" i="10"/>
  <c r="B45" i="5" s="1"/>
  <c r="C47" i="10"/>
  <c r="B46" i="5" s="1"/>
  <c r="C48" i="10"/>
  <c r="B47" i="5" s="1"/>
  <c r="C49" i="10"/>
  <c r="B48" i="5" s="1"/>
  <c r="C50" i="10"/>
  <c r="B49" i="5" s="1"/>
  <c r="C51" i="10"/>
  <c r="B50" i="5" s="1"/>
  <c r="C52" i="10"/>
  <c r="B51" i="5" s="1"/>
  <c r="C53" i="10"/>
  <c r="B52" i="5" s="1"/>
  <c r="C54" i="10"/>
  <c r="B53" i="5" s="1"/>
  <c r="C55" i="10"/>
  <c r="B54" i="5" s="1"/>
  <c r="C56" i="10"/>
  <c r="B55" i="5" s="1"/>
  <c r="C57" i="10"/>
  <c r="B56" i="5" s="1"/>
  <c r="C58" i="10"/>
  <c r="B57" i="5" s="1"/>
  <c r="C59" i="10"/>
  <c r="B58" i="5" s="1"/>
  <c r="C60" i="10"/>
  <c r="B59" i="5" s="1"/>
  <c r="C61" i="10"/>
  <c r="B60" i="5" s="1"/>
  <c r="C62" i="10"/>
  <c r="B61" i="5" s="1"/>
  <c r="C63" i="10"/>
  <c r="B62" i="5" s="1"/>
  <c r="C64" i="10"/>
  <c r="B63" i="5" s="1"/>
  <c r="C65" i="10"/>
  <c r="B64" i="5" s="1"/>
  <c r="C66" i="10"/>
  <c r="B65" i="5" s="1"/>
  <c r="C67" i="10"/>
  <c r="B66" i="5" s="1"/>
  <c r="C68" i="10"/>
  <c r="B67" i="5" s="1"/>
  <c r="C69" i="10"/>
  <c r="B68" i="5" s="1"/>
  <c r="C70" i="10"/>
  <c r="B69" i="5" s="1"/>
  <c r="C71" i="10"/>
  <c r="B70" i="5" s="1"/>
  <c r="C72" i="10"/>
  <c r="B71" i="5" s="1"/>
  <c r="C73" i="10"/>
  <c r="B72" i="5" s="1"/>
  <c r="C74" i="10"/>
  <c r="B73" i="5" s="1"/>
  <c r="C75" i="10"/>
  <c r="B74" i="5" s="1"/>
  <c r="C76" i="10"/>
  <c r="B75" i="5" s="1"/>
  <c r="C77" i="10"/>
  <c r="B76" i="5" s="1"/>
  <c r="C78" i="10"/>
  <c r="B77" i="5" s="1"/>
  <c r="C79" i="10"/>
  <c r="B78" i="5" s="1"/>
  <c r="C80" i="10"/>
  <c r="B79" i="5" s="1"/>
  <c r="C81" i="10"/>
  <c r="B80" i="5" s="1"/>
  <c r="C82" i="10"/>
  <c r="B81" i="5" s="1"/>
  <c r="C83" i="10"/>
  <c r="B82" i="5" s="1"/>
  <c r="C84" i="10"/>
  <c r="B83" i="5" s="1"/>
  <c r="C85" i="10"/>
  <c r="B84" i="5" s="1"/>
  <c r="C86" i="10"/>
  <c r="B85" i="5" s="1"/>
  <c r="C87" i="10"/>
  <c r="B86" i="5" s="1"/>
  <c r="C88" i="10"/>
  <c r="B87" i="5" s="1"/>
  <c r="C89" i="10"/>
  <c r="B88" i="5" s="1"/>
  <c r="C90" i="10"/>
  <c r="B89" i="5" s="1"/>
  <c r="C91" i="10"/>
  <c r="B90" i="5" s="1"/>
  <c r="C92" i="10"/>
  <c r="B91" i="5" s="1"/>
  <c r="C93" i="10"/>
  <c r="B92" i="5" s="1"/>
  <c r="C94" i="10"/>
  <c r="B93" i="5" s="1"/>
  <c r="C95" i="10"/>
  <c r="B94" i="5" s="1"/>
  <c r="C96" i="10"/>
  <c r="B95" i="5" s="1"/>
  <c r="C97" i="10"/>
  <c r="B96" i="5" s="1"/>
  <c r="C98" i="10"/>
  <c r="B97" i="5" s="1"/>
  <c r="C99" i="10"/>
  <c r="B98" i="5" s="1"/>
  <c r="C100" i="10"/>
  <c r="B99" i="5" s="1"/>
  <c r="C101" i="10"/>
  <c r="B100" i="5" s="1"/>
  <c r="C102" i="10"/>
  <c r="B101" i="5" s="1"/>
  <c r="C103" i="10"/>
  <c r="B102" i="5" s="1"/>
  <c r="C104" i="10"/>
  <c r="B103" i="5" s="1"/>
  <c r="C105" i="10"/>
  <c r="B104" i="5" s="1"/>
  <c r="C104" i="5" s="1"/>
  <c r="C106" i="10"/>
  <c r="B105" i="5" s="1"/>
  <c r="C107" i="10"/>
  <c r="B106" i="5" s="1"/>
  <c r="C108" i="10"/>
  <c r="B107" i="5" s="1"/>
  <c r="C109" i="10"/>
  <c r="B108" i="5" s="1"/>
  <c r="C110" i="10"/>
  <c r="B109" i="5" s="1"/>
  <c r="C111" i="10"/>
  <c r="B110" i="5" s="1"/>
  <c r="C112" i="10"/>
  <c r="B111" i="5" s="1"/>
  <c r="C113" i="10"/>
  <c r="B112" i="5" s="1"/>
  <c r="C114" i="10"/>
  <c r="B113" i="5" s="1"/>
  <c r="C115" i="10"/>
  <c r="B114" i="5" s="1"/>
  <c r="C116" i="10"/>
  <c r="B115" i="5" s="1"/>
  <c r="C117" i="10"/>
  <c r="B116" i="5" s="1"/>
  <c r="C118" i="10"/>
  <c r="B117" i="5" s="1"/>
  <c r="C119" i="10"/>
  <c r="B118" i="5" s="1"/>
  <c r="C120" i="10"/>
  <c r="B119" i="5" s="1"/>
  <c r="C121" i="10"/>
  <c r="B120" i="5" s="1"/>
  <c r="C122" i="10"/>
  <c r="B121" i="5" s="1"/>
  <c r="C123" i="10"/>
  <c r="B122" i="5" s="1"/>
  <c r="C124" i="10"/>
  <c r="B123" i="5" s="1"/>
  <c r="C125" i="10"/>
  <c r="B124" i="5" s="1"/>
  <c r="C126" i="10"/>
  <c r="B125" i="5" s="1"/>
  <c r="C127" i="10"/>
  <c r="B126" i="5" s="1"/>
  <c r="C128" i="10"/>
  <c r="B127" i="5" s="1"/>
  <c r="C129" i="10"/>
  <c r="B128" i="5" s="1"/>
  <c r="C130" i="10"/>
  <c r="B129" i="5" s="1"/>
  <c r="C131" i="10"/>
  <c r="B130" i="5" s="1"/>
  <c r="C132" i="10"/>
  <c r="B131" i="5" s="1"/>
  <c r="C133" i="10"/>
  <c r="B132" i="5" s="1"/>
  <c r="C134" i="10"/>
  <c r="B133" i="5" s="1"/>
  <c r="C135" i="10"/>
  <c r="B134" i="5" s="1"/>
  <c r="C136" i="10"/>
  <c r="B135" i="5" s="1"/>
  <c r="C137" i="10"/>
  <c r="B136" i="5" s="1"/>
  <c r="C138" i="10"/>
  <c r="B137" i="5" s="1"/>
  <c r="C139" i="10"/>
  <c r="B138" i="5" s="1"/>
  <c r="C140" i="10"/>
  <c r="B139" i="5" s="1"/>
  <c r="C141" i="10"/>
  <c r="B140" i="5" s="1"/>
  <c r="C142" i="10"/>
  <c r="B141" i="5" s="1"/>
  <c r="C143" i="10"/>
  <c r="B142" i="5" s="1"/>
  <c r="C144" i="10"/>
  <c r="B143" i="5" s="1"/>
  <c r="C145" i="10"/>
  <c r="B144" i="5" s="1"/>
  <c r="C146" i="10"/>
  <c r="B145" i="5" s="1"/>
  <c r="C147" i="10"/>
  <c r="B146" i="5" s="1"/>
  <c r="C148" i="10"/>
  <c r="B147" i="5" s="1"/>
  <c r="C149" i="10"/>
  <c r="B148" i="5" s="1"/>
  <c r="C150" i="10"/>
  <c r="B149" i="5" s="1"/>
  <c r="C151" i="10"/>
  <c r="B150" i="5" s="1"/>
  <c r="C152" i="10"/>
  <c r="B151" i="5" s="1"/>
  <c r="C153" i="10"/>
  <c r="B152" i="5" s="1"/>
  <c r="C154" i="10"/>
  <c r="B153" i="5" s="1"/>
  <c r="C155" i="10"/>
  <c r="B154" i="5" s="1"/>
  <c r="C156" i="10"/>
  <c r="B155" i="5" s="1"/>
  <c r="C157" i="10"/>
  <c r="B156" i="5" s="1"/>
  <c r="C158" i="10"/>
  <c r="B157" i="5" s="1"/>
  <c r="C159" i="10"/>
  <c r="B158" i="5" s="1"/>
  <c r="C160" i="10"/>
  <c r="B159" i="5" s="1"/>
  <c r="C161" i="10"/>
  <c r="B160" i="5" s="1"/>
  <c r="C162" i="10"/>
  <c r="B161" i="5" s="1"/>
  <c r="C163" i="10"/>
  <c r="B162" i="5" s="1"/>
  <c r="C164" i="10"/>
  <c r="B163" i="5" s="1"/>
  <c r="C165" i="10"/>
  <c r="B164" i="5" s="1"/>
  <c r="C166" i="10"/>
  <c r="B165" i="5" s="1"/>
  <c r="C167" i="10"/>
  <c r="B166" i="5" s="1"/>
  <c r="C168" i="10"/>
  <c r="B167" i="5" s="1"/>
  <c r="C169" i="10"/>
  <c r="B168" i="5" s="1"/>
  <c r="C170" i="10"/>
  <c r="B169" i="5" s="1"/>
  <c r="C171" i="10"/>
  <c r="B170" i="5" s="1"/>
  <c r="C172" i="10"/>
  <c r="B171" i="5" s="1"/>
  <c r="C173" i="10"/>
  <c r="B172" i="5" s="1"/>
  <c r="C174" i="10"/>
  <c r="B173" i="5" s="1"/>
  <c r="C175" i="10"/>
  <c r="B174" i="5" s="1"/>
  <c r="C176" i="10"/>
  <c r="B175" i="5" s="1"/>
  <c r="C177" i="10"/>
  <c r="B176" i="5" s="1"/>
  <c r="C178" i="10"/>
  <c r="B177" i="5" s="1"/>
  <c r="C179" i="10"/>
  <c r="B178" i="5" s="1"/>
  <c r="C180" i="10"/>
  <c r="B179" i="5" s="1"/>
  <c r="C181" i="10"/>
  <c r="B180" i="5" s="1"/>
  <c r="C182" i="10"/>
  <c r="B181" i="5" s="1"/>
  <c r="C183" i="10"/>
  <c r="B182" i="5" s="1"/>
  <c r="C184" i="10"/>
  <c r="B183" i="5" s="1"/>
  <c r="C185" i="10"/>
  <c r="B184" i="5" s="1"/>
  <c r="C186" i="10"/>
  <c r="B185" i="5" s="1"/>
  <c r="C187" i="10"/>
  <c r="B186" i="5" s="1"/>
  <c r="C188" i="10"/>
  <c r="B187" i="5" s="1"/>
  <c r="C189" i="10"/>
  <c r="B188" i="5" s="1"/>
  <c r="C190" i="10"/>
  <c r="B189" i="5" s="1"/>
  <c r="C191" i="10"/>
  <c r="B190" i="5" s="1"/>
  <c r="C192" i="10"/>
  <c r="B191" i="5" s="1"/>
  <c r="C193" i="10"/>
  <c r="B192" i="5" s="1"/>
  <c r="C194" i="10"/>
  <c r="B193" i="5" s="1"/>
  <c r="C195" i="10"/>
  <c r="B194" i="5" s="1"/>
  <c r="C196" i="10"/>
  <c r="B195" i="5" s="1"/>
  <c r="C197" i="10"/>
  <c r="B196" i="5" s="1"/>
  <c r="C198" i="10"/>
  <c r="B197" i="5" s="1"/>
  <c r="C199" i="10"/>
  <c r="B198" i="5" s="1"/>
  <c r="C200" i="10"/>
  <c r="B199" i="5" s="1"/>
  <c r="C201" i="10"/>
  <c r="B200" i="5" s="1"/>
  <c r="C202" i="10"/>
  <c r="B201" i="5" s="1"/>
  <c r="C203" i="10"/>
  <c r="B202" i="5" s="1"/>
  <c r="C204" i="10"/>
  <c r="B203" i="5" s="1"/>
  <c r="C205" i="10"/>
  <c r="B204" i="5" s="1"/>
  <c r="C206" i="10"/>
  <c r="B205" i="5" s="1"/>
  <c r="C205" i="5" s="1"/>
  <c r="C207" i="10"/>
  <c r="B206" i="5" s="1"/>
  <c r="C206" i="5" s="1"/>
  <c r="C208" i="10"/>
  <c r="B207" i="5" s="1"/>
  <c r="C207" i="5" s="1"/>
  <c r="C209" i="10"/>
  <c r="B208" i="5" s="1"/>
  <c r="C208" i="5" s="1"/>
  <c r="C210" i="10"/>
  <c r="B209" i="5" s="1"/>
  <c r="C209" i="5" s="1"/>
  <c r="C211" i="10"/>
  <c r="B210" i="5" s="1"/>
  <c r="C210" i="5" s="1"/>
  <c r="C212" i="10"/>
  <c r="B211" i="5" s="1"/>
  <c r="C211" i="5" s="1"/>
  <c r="C213" i="10"/>
  <c r="B212" i="5" s="1"/>
  <c r="C212" i="5" s="1"/>
  <c r="C214" i="10"/>
  <c r="B213" i="5" s="1"/>
  <c r="C213" i="5" s="1"/>
  <c r="C215" i="10"/>
  <c r="B214" i="5" s="1"/>
  <c r="C214" i="5" s="1"/>
  <c r="C216" i="10"/>
  <c r="B215" i="5" s="1"/>
  <c r="C215" i="5" s="1"/>
  <c r="C217" i="10"/>
  <c r="B216" i="5" s="1"/>
  <c r="C216" i="5" s="1"/>
  <c r="C218" i="10"/>
  <c r="B217" i="5" s="1"/>
  <c r="C217" i="5" s="1"/>
  <c r="C219" i="10"/>
  <c r="B218" i="5" s="1"/>
  <c r="C218" i="5" s="1"/>
  <c r="C220" i="10"/>
  <c r="B219" i="5" s="1"/>
  <c r="C219" i="5" s="1"/>
  <c r="C221" i="10"/>
  <c r="B220" i="5" s="1"/>
  <c r="C220" i="5" s="1"/>
  <c r="C222" i="10"/>
  <c r="B221" i="5" s="1"/>
  <c r="C221" i="5" s="1"/>
  <c r="C223" i="10"/>
  <c r="B222" i="5" s="1"/>
  <c r="C222" i="5" s="1"/>
  <c r="C224" i="10"/>
  <c r="B223" i="5" s="1"/>
  <c r="C223" i="5" s="1"/>
  <c r="C225" i="10"/>
  <c r="B224" i="5" s="1"/>
  <c r="C224" i="5" s="1"/>
  <c r="C226" i="10"/>
  <c r="B225" i="5" s="1"/>
  <c r="C225" i="5" s="1"/>
  <c r="C227" i="10"/>
  <c r="B226" i="5" s="1"/>
  <c r="C226" i="5" s="1"/>
  <c r="C228" i="10"/>
  <c r="B227" i="5" s="1"/>
  <c r="C227" i="5" s="1"/>
  <c r="C229" i="10"/>
  <c r="B228" i="5" s="1"/>
  <c r="C228" i="5" s="1"/>
  <c r="C230" i="10"/>
  <c r="B229" i="5" s="1"/>
  <c r="C229" i="5" s="1"/>
  <c r="C231" i="10"/>
  <c r="B230" i="5" s="1"/>
  <c r="C230" i="5" s="1"/>
  <c r="C232" i="10"/>
  <c r="B231" i="5" s="1"/>
  <c r="C231" i="5" s="1"/>
  <c r="C233" i="10"/>
  <c r="B232" i="5" s="1"/>
  <c r="C232" i="5" s="1"/>
  <c r="C234" i="10"/>
  <c r="B233" i="5" s="1"/>
  <c r="C233" i="5" s="1"/>
  <c r="C235" i="10"/>
  <c r="B234" i="5" s="1"/>
  <c r="C234" i="5" s="1"/>
  <c r="C236" i="10"/>
  <c r="B235" i="5" s="1"/>
  <c r="C237" i="10"/>
  <c r="B236" i="5" s="1"/>
  <c r="C236" i="5" s="1"/>
  <c r="C238" i="10"/>
  <c r="B237" i="5" s="1"/>
  <c r="C237" i="5" s="1"/>
  <c r="C239" i="10"/>
  <c r="B238" i="5" s="1"/>
  <c r="C238" i="5" s="1"/>
  <c r="C240" i="10"/>
  <c r="B239" i="5" s="1"/>
  <c r="C241" i="10"/>
  <c r="B240" i="5" s="1"/>
  <c r="C240" i="5" s="1"/>
  <c r="C242" i="10"/>
  <c r="B241" i="5" s="1"/>
  <c r="C241" i="5" s="1"/>
  <c r="C243" i="10"/>
  <c r="B242" i="5" s="1"/>
  <c r="C242" i="5" s="1"/>
  <c r="C244" i="10"/>
  <c r="B243" i="5" s="1"/>
  <c r="C243" i="5" s="1"/>
  <c r="C245" i="10"/>
  <c r="B244" i="5" s="1"/>
  <c r="C246" i="10"/>
  <c r="B245" i="5" s="1"/>
  <c r="C245" i="5" s="1"/>
  <c r="C247" i="10"/>
  <c r="B246" i="5" s="1"/>
  <c r="C246" i="5" s="1"/>
  <c r="C248" i="10"/>
  <c r="B247" i="5" s="1"/>
  <c r="C247" i="5" s="1"/>
  <c r="C249" i="10"/>
  <c r="B248" i="5" s="1"/>
  <c r="C248" i="5" s="1"/>
  <c r="C250" i="10"/>
  <c r="B249" i="5" s="1"/>
  <c r="C249" i="5" s="1"/>
  <c r="C251" i="10"/>
  <c r="B250" i="5" s="1"/>
  <c r="C250" i="5" s="1"/>
  <c r="C252" i="10"/>
  <c r="B251" i="5" s="1"/>
  <c r="C251" i="5" s="1"/>
  <c r="C253" i="10"/>
  <c r="B252" i="5" s="1"/>
  <c r="C252" i="5" s="1"/>
  <c r="C254" i="10"/>
  <c r="B253" i="5" s="1"/>
  <c r="C253" i="5" s="1"/>
  <c r="C255" i="10"/>
  <c r="B254" i="5" s="1"/>
  <c r="C254" i="5" s="1"/>
  <c r="C256" i="10"/>
  <c r="B255" i="5" s="1"/>
  <c r="C255" i="5" s="1"/>
  <c r="C257" i="10"/>
  <c r="B256" i="5" s="1"/>
  <c r="C256" i="5" s="1"/>
  <c r="C258" i="10"/>
  <c r="B257" i="5" s="1"/>
  <c r="C257" i="5" s="1"/>
  <c r="C259" i="10"/>
  <c r="B258" i="5" s="1"/>
  <c r="C258" i="5" s="1"/>
  <c r="C260" i="10"/>
  <c r="B259" i="5" s="1"/>
  <c r="C259" i="5" s="1"/>
  <c r="C261" i="10"/>
  <c r="B260" i="5" s="1"/>
  <c r="C260" i="5" s="1"/>
  <c r="C262" i="10"/>
  <c r="B261" i="5" s="1"/>
  <c r="C261" i="5" s="1"/>
  <c r="C263" i="10"/>
  <c r="B262" i="5" s="1"/>
  <c r="C262" i="5" s="1"/>
  <c r="C264" i="10"/>
  <c r="B263" i="5" s="1"/>
  <c r="C263" i="5" s="1"/>
  <c r="C265" i="10"/>
  <c r="B264" i="5" s="1"/>
  <c r="C264" i="5" s="1"/>
  <c r="C266" i="10"/>
  <c r="B265" i="5" s="1"/>
  <c r="C265" i="5" s="1"/>
  <c r="C267" i="10"/>
  <c r="B266" i="5" s="1"/>
  <c r="C266" i="5" s="1"/>
  <c r="C268" i="10"/>
  <c r="B267" i="5" s="1"/>
  <c r="C267" i="5" s="1"/>
  <c r="C269" i="10"/>
  <c r="B268" i="5" s="1"/>
  <c r="C268" i="5" s="1"/>
  <c r="C270" i="10"/>
  <c r="B269" i="5" s="1"/>
  <c r="C269" i="5" s="1"/>
  <c r="C271" i="10"/>
  <c r="B270" i="5" s="1"/>
  <c r="C270" i="5" s="1"/>
  <c r="C272" i="10"/>
  <c r="B271" i="5" s="1"/>
  <c r="C271" i="5" s="1"/>
  <c r="C273" i="10"/>
  <c r="B272" i="5" s="1"/>
  <c r="C272" i="5" s="1"/>
  <c r="C274" i="10"/>
  <c r="B273" i="5" s="1"/>
  <c r="C275" i="10"/>
  <c r="B274" i="5" s="1"/>
  <c r="C276" i="10"/>
  <c r="B275" i="5" s="1"/>
  <c r="C277" i="10"/>
  <c r="B276" i="5" s="1"/>
  <c r="C278" i="10"/>
  <c r="B277" i="5" s="1"/>
  <c r="C279" i="10"/>
  <c r="B278" i="5" s="1"/>
  <c r="C280" i="10"/>
  <c r="B279" i="5" s="1"/>
  <c r="C281" i="10"/>
  <c r="B280" i="5" s="1"/>
  <c r="C282" i="10"/>
  <c r="B281" i="5" s="1"/>
  <c r="C283" i="10"/>
  <c r="B282" i="5" s="1"/>
  <c r="C284" i="10"/>
  <c r="B283" i="5" s="1"/>
  <c r="C285" i="10"/>
  <c r="B284" i="5" s="1"/>
  <c r="C286" i="10"/>
  <c r="B285" i="5" s="1"/>
  <c r="C287" i="10"/>
  <c r="B286" i="5" s="1"/>
  <c r="C288" i="10"/>
  <c r="B287" i="5" s="1"/>
  <c r="C289" i="10"/>
  <c r="B288" i="5" s="1"/>
  <c r="C290" i="10"/>
  <c r="B289" i="5" s="1"/>
  <c r="C291" i="10"/>
  <c r="B290" i="5" s="1"/>
  <c r="C292" i="10"/>
  <c r="B291" i="5" s="1"/>
  <c r="C293" i="10"/>
  <c r="B292" i="5" s="1"/>
  <c r="C294" i="10"/>
  <c r="B293" i="5" s="1"/>
  <c r="C295" i="10"/>
  <c r="B294" i="5" s="1"/>
  <c r="C296" i="10"/>
  <c r="B295" i="5" s="1"/>
  <c r="C297" i="10"/>
  <c r="B296" i="5" s="1"/>
  <c r="C298" i="10"/>
  <c r="B297" i="5" s="1"/>
  <c r="C299" i="10"/>
  <c r="B298" i="5" s="1"/>
  <c r="C300" i="10"/>
  <c r="B299" i="5" s="1"/>
  <c r="C301" i="10"/>
  <c r="B300" i="5" s="1"/>
  <c r="C302" i="10"/>
  <c r="B301" i="5" s="1"/>
  <c r="C303" i="10"/>
  <c r="B302" i="5" s="1"/>
  <c r="C304" i="10"/>
  <c r="B303" i="5" s="1"/>
  <c r="C305" i="10"/>
  <c r="B304" i="5" s="1"/>
  <c r="C306" i="10"/>
  <c r="B305" i="5" s="1"/>
  <c r="C307" i="10"/>
  <c r="B306" i="5" s="1"/>
  <c r="C308" i="10"/>
  <c r="B307" i="5" s="1"/>
  <c r="C309" i="10"/>
  <c r="B308" i="5" s="1"/>
  <c r="C310" i="10"/>
  <c r="B309" i="5" s="1"/>
  <c r="C309" i="5" s="1"/>
  <c r="C311" i="10"/>
  <c r="B310" i="5" s="1"/>
  <c r="C310" i="5" s="1"/>
  <c r="C312" i="10"/>
  <c r="B311" i="5" s="1"/>
  <c r="C311" i="5" s="1"/>
  <c r="C313" i="10"/>
  <c r="B312" i="5" s="1"/>
  <c r="C312" i="5" s="1"/>
  <c r="C314" i="10"/>
  <c r="B313" i="5" s="1"/>
  <c r="C315" i="10"/>
  <c r="B314" i="5" s="1"/>
  <c r="C316" i="10"/>
  <c r="B315" i="5" s="1"/>
  <c r="C317" i="10"/>
  <c r="B316" i="5" s="1"/>
  <c r="C318" i="10"/>
  <c r="B317" i="5" s="1"/>
  <c r="C319" i="10"/>
  <c r="B318" i="5" s="1"/>
  <c r="C318" i="5" s="1"/>
  <c r="C320" i="10"/>
  <c r="B319" i="5" s="1"/>
  <c r="C319" i="5" s="1"/>
  <c r="C321" i="10"/>
  <c r="B320" i="5" s="1"/>
  <c r="C322" i="10"/>
  <c r="B321" i="5" s="1"/>
  <c r="C321" i="5" s="1"/>
  <c r="C323" i="10"/>
  <c r="B322" i="5" s="1"/>
  <c r="C322" i="5" s="1"/>
  <c r="C324" i="10"/>
  <c r="B323" i="5" s="1"/>
  <c r="C323" i="5" s="1"/>
  <c r="C325" i="10"/>
  <c r="B324" i="5" s="1"/>
  <c r="C324" i="5" s="1"/>
  <c r="C326" i="10"/>
  <c r="B325" i="5" s="1"/>
  <c r="C325" i="5" s="1"/>
  <c r="C327" i="10"/>
  <c r="B326" i="5" s="1"/>
  <c r="C326" i="5" s="1"/>
  <c r="C328" i="10"/>
  <c r="B327" i="5" s="1"/>
  <c r="C327" i="5" s="1"/>
  <c r="C329" i="10"/>
  <c r="B328" i="5" s="1"/>
  <c r="C328" i="5" s="1"/>
  <c r="C330" i="10"/>
  <c r="B329" i="5" s="1"/>
  <c r="C329" i="5" s="1"/>
  <c r="C331" i="10"/>
  <c r="B330" i="5" s="1"/>
  <c r="C330" i="5" s="1"/>
  <c r="C332" i="10"/>
  <c r="B331" i="5" s="1"/>
  <c r="C331" i="5" s="1"/>
  <c r="C333" i="10"/>
  <c r="B332" i="5" s="1"/>
  <c r="C332" i="5" s="1"/>
  <c r="C334" i="10"/>
  <c r="B333" i="5" s="1"/>
  <c r="C333" i="5" s="1"/>
  <c r="C335" i="10"/>
  <c r="B334" i="5" s="1"/>
  <c r="C334" i="5" s="1"/>
  <c r="C336" i="10"/>
  <c r="B335" i="5" s="1"/>
  <c r="C335" i="5" s="1"/>
  <c r="C337" i="10"/>
  <c r="B336" i="5" s="1"/>
  <c r="C336" i="5" s="1"/>
  <c r="C338" i="10"/>
  <c r="B337" i="5" s="1"/>
  <c r="C337" i="5" s="1"/>
  <c r="C339" i="10"/>
  <c r="B338" i="5" s="1"/>
  <c r="C338" i="5" s="1"/>
  <c r="C340" i="10"/>
  <c r="B339" i="5" s="1"/>
  <c r="C339" i="5" s="1"/>
  <c r="C341" i="10"/>
  <c r="B340" i="5" s="1"/>
  <c r="C340" i="5" s="1"/>
  <c r="C342" i="10"/>
  <c r="B341" i="5" s="1"/>
  <c r="C343" i="10"/>
  <c r="B342" i="5" s="1"/>
  <c r="C344" i="10"/>
  <c r="B343" i="5" s="1"/>
  <c r="C345" i="10"/>
  <c r="B344" i="5" s="1"/>
  <c r="C344" i="5" s="1"/>
  <c r="C346" i="10"/>
  <c r="B345" i="5" s="1"/>
  <c r="C345" i="5" s="1"/>
  <c r="C347" i="10"/>
  <c r="B346" i="5" s="1"/>
  <c r="C348" i="10"/>
  <c r="B347" i="5" s="1"/>
  <c r="C349" i="10"/>
  <c r="B348" i="5" s="1"/>
  <c r="C348" i="5" s="1"/>
  <c r="C350" i="10"/>
  <c r="B349" i="5" s="1"/>
  <c r="C349" i="5" s="1"/>
  <c r="C351" i="10"/>
  <c r="B350" i="5" s="1"/>
  <c r="C350" i="5" s="1"/>
  <c r="C352" i="10"/>
  <c r="B351" i="5" s="1"/>
  <c r="C351" i="5" s="1"/>
  <c r="C353" i="10"/>
  <c r="B352" i="5" s="1"/>
  <c r="C354" i="10"/>
  <c r="B353" i="5" s="1"/>
  <c r="C355" i="10"/>
  <c r="B354" i="5" s="1"/>
  <c r="C356" i="10"/>
  <c r="B355" i="5" s="1"/>
  <c r="C357" i="10"/>
  <c r="B356" i="5" s="1"/>
  <c r="C358" i="10"/>
  <c r="B357" i="5" s="1"/>
  <c r="C357" i="5" s="1"/>
  <c r="C359" i="10"/>
  <c r="B358" i="5" s="1"/>
  <c r="C360" i="10"/>
  <c r="B359" i="5" s="1"/>
  <c r="C361" i="10"/>
  <c r="B360" i="5" s="1"/>
  <c r="C2" i="10"/>
  <c r="B1" i="5" s="1"/>
  <c r="C3" i="4"/>
  <c r="A2" i="5" s="1"/>
  <c r="C4" i="4"/>
  <c r="A3" i="5" s="1"/>
  <c r="C5" i="4"/>
  <c r="A4" i="5" s="1"/>
  <c r="C6" i="4"/>
  <c r="A5" i="5" s="1"/>
  <c r="C7" i="4"/>
  <c r="A6" i="5" s="1"/>
  <c r="C8" i="4"/>
  <c r="A7" i="5" s="1"/>
  <c r="C9" i="4"/>
  <c r="A8" i="5" s="1"/>
  <c r="C10" i="4"/>
  <c r="A9" i="5" s="1"/>
  <c r="C11" i="4"/>
  <c r="A10" i="5" s="1"/>
  <c r="C12" i="4"/>
  <c r="A11" i="5" s="1"/>
  <c r="C13" i="4"/>
  <c r="A12" i="5" s="1"/>
  <c r="C14" i="4"/>
  <c r="A13" i="5" s="1"/>
  <c r="C15" i="4"/>
  <c r="A14" i="5" s="1"/>
  <c r="C16" i="4"/>
  <c r="A15" i="5" s="1"/>
  <c r="C17" i="4"/>
  <c r="A16" i="5" s="1"/>
  <c r="C18" i="4"/>
  <c r="A17" i="5" s="1"/>
  <c r="C19" i="4"/>
  <c r="A18" i="5" s="1"/>
  <c r="C20" i="4"/>
  <c r="A19" i="5" s="1"/>
  <c r="C21" i="4"/>
  <c r="A20" i="5" s="1"/>
  <c r="C22" i="4"/>
  <c r="A21" i="5" s="1"/>
  <c r="C23" i="4"/>
  <c r="A22" i="5" s="1"/>
  <c r="C24" i="4"/>
  <c r="A23" i="5" s="1"/>
  <c r="C25" i="4"/>
  <c r="A24" i="5" s="1"/>
  <c r="C26" i="4"/>
  <c r="A25" i="5" s="1"/>
  <c r="C27" i="4"/>
  <c r="A26" i="5" s="1"/>
  <c r="C28" i="4"/>
  <c r="A27" i="5" s="1"/>
  <c r="C29" i="4"/>
  <c r="A28" i="5" s="1"/>
  <c r="C30" i="4"/>
  <c r="A29" i="5" s="1"/>
  <c r="C31" i="4"/>
  <c r="A30" i="5" s="1"/>
  <c r="C32" i="4"/>
  <c r="A31" i="5" s="1"/>
  <c r="C33" i="4"/>
  <c r="A32" i="5" s="1"/>
  <c r="C34" i="4"/>
  <c r="A33" i="5" s="1"/>
  <c r="C35" i="4"/>
  <c r="A34" i="5" s="1"/>
  <c r="C36" i="4"/>
  <c r="A35" i="5" s="1"/>
  <c r="C37" i="4"/>
  <c r="A36" i="5" s="1"/>
  <c r="C38" i="4"/>
  <c r="A37" i="5" s="1"/>
  <c r="C39" i="4"/>
  <c r="A38" i="5" s="1"/>
  <c r="C40" i="4"/>
  <c r="A39" i="5" s="1"/>
  <c r="C41" i="4"/>
  <c r="A40" i="5" s="1"/>
  <c r="C42" i="4"/>
  <c r="A41" i="5" s="1"/>
  <c r="C43" i="4"/>
  <c r="A42" i="5" s="1"/>
  <c r="C44" i="4"/>
  <c r="A43" i="5" s="1"/>
  <c r="C45" i="4"/>
  <c r="A44" i="5" s="1"/>
  <c r="C46" i="4"/>
  <c r="A45" i="5" s="1"/>
  <c r="C47" i="4"/>
  <c r="A46" i="5" s="1"/>
  <c r="C48" i="4"/>
  <c r="A47" i="5" s="1"/>
  <c r="C49" i="4"/>
  <c r="A48" i="5" s="1"/>
  <c r="C50" i="4"/>
  <c r="A49" i="5" s="1"/>
  <c r="C51" i="4"/>
  <c r="A50" i="5" s="1"/>
  <c r="C52" i="4"/>
  <c r="A51" i="5" s="1"/>
  <c r="C53" i="4"/>
  <c r="A52" i="5" s="1"/>
  <c r="C54" i="4"/>
  <c r="A53" i="5" s="1"/>
  <c r="C55" i="4"/>
  <c r="A54" i="5" s="1"/>
  <c r="C56" i="4"/>
  <c r="A55" i="5" s="1"/>
  <c r="C57" i="4"/>
  <c r="A56" i="5" s="1"/>
  <c r="C58" i="4"/>
  <c r="A57" i="5" s="1"/>
  <c r="C59" i="4"/>
  <c r="A58" i="5" s="1"/>
  <c r="C60" i="4"/>
  <c r="A59" i="5" s="1"/>
  <c r="C61" i="4"/>
  <c r="A60" i="5" s="1"/>
  <c r="C62" i="4"/>
  <c r="A61" i="5" s="1"/>
  <c r="C63" i="4"/>
  <c r="A62" i="5" s="1"/>
  <c r="C64" i="4"/>
  <c r="A63" i="5" s="1"/>
  <c r="C65" i="4"/>
  <c r="A64" i="5" s="1"/>
  <c r="C66" i="4"/>
  <c r="A65" i="5" s="1"/>
  <c r="C67" i="4"/>
  <c r="A66" i="5" s="1"/>
  <c r="C68" i="4"/>
  <c r="A67" i="5" s="1"/>
  <c r="C69" i="4"/>
  <c r="A68" i="5" s="1"/>
  <c r="C70" i="4"/>
  <c r="A69" i="5" s="1"/>
  <c r="C71" i="4"/>
  <c r="A70" i="5" s="1"/>
  <c r="C72" i="4"/>
  <c r="A71" i="5" s="1"/>
  <c r="C73" i="4"/>
  <c r="A72" i="5" s="1"/>
  <c r="C74" i="4"/>
  <c r="A73" i="5" s="1"/>
  <c r="C75" i="4"/>
  <c r="A74" i="5" s="1"/>
  <c r="C76" i="4"/>
  <c r="A75" i="5" s="1"/>
  <c r="C77" i="4"/>
  <c r="A76" i="5" s="1"/>
  <c r="C78" i="4"/>
  <c r="A77" i="5" s="1"/>
  <c r="C79" i="4"/>
  <c r="A78" i="5" s="1"/>
  <c r="C80" i="4"/>
  <c r="A79" i="5" s="1"/>
  <c r="C81" i="4"/>
  <c r="A80" i="5" s="1"/>
  <c r="C82" i="4"/>
  <c r="A81" i="5" s="1"/>
  <c r="C83" i="4"/>
  <c r="A82" i="5" s="1"/>
  <c r="C84" i="4"/>
  <c r="A83" i="5" s="1"/>
  <c r="C85" i="4"/>
  <c r="A84" i="5" s="1"/>
  <c r="C86" i="4"/>
  <c r="A85" i="5" s="1"/>
  <c r="C87" i="4"/>
  <c r="A86" i="5" s="1"/>
  <c r="C88" i="4"/>
  <c r="A87" i="5" s="1"/>
  <c r="C89" i="4"/>
  <c r="A88" i="5" s="1"/>
  <c r="C90" i="4"/>
  <c r="A89" i="5" s="1"/>
  <c r="C91" i="4"/>
  <c r="A90" i="5" s="1"/>
  <c r="C92" i="4"/>
  <c r="A91" i="5" s="1"/>
  <c r="C93" i="4"/>
  <c r="A92" i="5" s="1"/>
  <c r="C94" i="4"/>
  <c r="A93" i="5" s="1"/>
  <c r="C95" i="4"/>
  <c r="A94" i="5" s="1"/>
  <c r="C96" i="4"/>
  <c r="A95" i="5" s="1"/>
  <c r="C97" i="4"/>
  <c r="A96" i="5" s="1"/>
  <c r="C98" i="4"/>
  <c r="A97" i="5" s="1"/>
  <c r="C99" i="4"/>
  <c r="A98" i="5" s="1"/>
  <c r="C100" i="4"/>
  <c r="A99" i="5" s="1"/>
  <c r="C101" i="4"/>
  <c r="A100" i="5" s="1"/>
  <c r="C102" i="4"/>
  <c r="A101" i="5" s="1"/>
  <c r="C103" i="4"/>
  <c r="A102" i="5" s="1"/>
  <c r="C104" i="4"/>
  <c r="A103" i="5" s="1"/>
  <c r="C105" i="4"/>
  <c r="A104" i="5" s="1"/>
  <c r="C106" i="4"/>
  <c r="A105" i="5" s="1"/>
  <c r="C107" i="4"/>
  <c r="A106" i="5" s="1"/>
  <c r="C108" i="4"/>
  <c r="A107" i="5" s="1"/>
  <c r="C109" i="4"/>
  <c r="A108" i="5" s="1"/>
  <c r="C110" i="4"/>
  <c r="A109" i="5" s="1"/>
  <c r="C111" i="4"/>
  <c r="A110" i="5" s="1"/>
  <c r="C112" i="4"/>
  <c r="A111" i="5" s="1"/>
  <c r="C113" i="4"/>
  <c r="A112" i="5" s="1"/>
  <c r="C114" i="4"/>
  <c r="A113" i="5" s="1"/>
  <c r="C115" i="4"/>
  <c r="A114" i="5" s="1"/>
  <c r="C116" i="4"/>
  <c r="A115" i="5" s="1"/>
  <c r="C117" i="4"/>
  <c r="A116" i="5" s="1"/>
  <c r="C118" i="4"/>
  <c r="A117" i="5" s="1"/>
  <c r="C119" i="4"/>
  <c r="A118" i="5" s="1"/>
  <c r="C120" i="4"/>
  <c r="A119" i="5" s="1"/>
  <c r="C121" i="4"/>
  <c r="A120" i="5" s="1"/>
  <c r="C122" i="4"/>
  <c r="A121" i="5" s="1"/>
  <c r="C123" i="4"/>
  <c r="A122" i="5" s="1"/>
  <c r="C124" i="4"/>
  <c r="A123" i="5" s="1"/>
  <c r="C125" i="4"/>
  <c r="A124" i="5" s="1"/>
  <c r="C126" i="4"/>
  <c r="A125" i="5" s="1"/>
  <c r="C127" i="4"/>
  <c r="A126" i="5" s="1"/>
  <c r="C128" i="4"/>
  <c r="A127" i="5" s="1"/>
  <c r="C129" i="4"/>
  <c r="A128" i="5" s="1"/>
  <c r="C130" i="4"/>
  <c r="A129" i="5" s="1"/>
  <c r="C131" i="4"/>
  <c r="A130" i="5" s="1"/>
  <c r="C132" i="4"/>
  <c r="A131" i="5" s="1"/>
  <c r="C133" i="4"/>
  <c r="A132" i="5" s="1"/>
  <c r="C134" i="4"/>
  <c r="A133" i="5" s="1"/>
  <c r="C135" i="4"/>
  <c r="A134" i="5" s="1"/>
  <c r="C136" i="4"/>
  <c r="A135" i="5" s="1"/>
  <c r="C137" i="4"/>
  <c r="A136" i="5" s="1"/>
  <c r="C138" i="4"/>
  <c r="A137" i="5" s="1"/>
  <c r="C139" i="4"/>
  <c r="A138" i="5" s="1"/>
  <c r="C140" i="4"/>
  <c r="A139" i="5" s="1"/>
  <c r="C141" i="4"/>
  <c r="A140" i="5" s="1"/>
  <c r="C142" i="4"/>
  <c r="A141" i="5" s="1"/>
  <c r="C143" i="4"/>
  <c r="A142" i="5" s="1"/>
  <c r="C144" i="4"/>
  <c r="A143" i="5" s="1"/>
  <c r="C145" i="4"/>
  <c r="A144" i="5" s="1"/>
  <c r="C146" i="4"/>
  <c r="A145" i="5" s="1"/>
  <c r="C147" i="4"/>
  <c r="A146" i="5" s="1"/>
  <c r="C148" i="4"/>
  <c r="A147" i="5" s="1"/>
  <c r="C149" i="4"/>
  <c r="A148" i="5" s="1"/>
  <c r="C150" i="4"/>
  <c r="A149" i="5" s="1"/>
  <c r="C151" i="4"/>
  <c r="A150" i="5" s="1"/>
  <c r="C152" i="4"/>
  <c r="A151" i="5" s="1"/>
  <c r="C153" i="4"/>
  <c r="A152" i="5" s="1"/>
  <c r="C154" i="4"/>
  <c r="A153" i="5" s="1"/>
  <c r="C155" i="4"/>
  <c r="A154" i="5" s="1"/>
  <c r="C156" i="4"/>
  <c r="A155" i="5" s="1"/>
  <c r="C157" i="4"/>
  <c r="A156" i="5" s="1"/>
  <c r="C158" i="4"/>
  <c r="A157" i="5" s="1"/>
  <c r="C159" i="4"/>
  <c r="A158" i="5" s="1"/>
  <c r="C160" i="4"/>
  <c r="A159" i="5" s="1"/>
  <c r="C161" i="4"/>
  <c r="A160" i="5" s="1"/>
  <c r="C162" i="4"/>
  <c r="A161" i="5" s="1"/>
  <c r="C163" i="4"/>
  <c r="A162" i="5" s="1"/>
  <c r="C164" i="4"/>
  <c r="A163" i="5" s="1"/>
  <c r="C165" i="4"/>
  <c r="A164" i="5" s="1"/>
  <c r="C166" i="4"/>
  <c r="A165" i="5" s="1"/>
  <c r="C167" i="4"/>
  <c r="A166" i="5" s="1"/>
  <c r="C168" i="4"/>
  <c r="A167" i="5" s="1"/>
  <c r="C169" i="4"/>
  <c r="A168" i="5" s="1"/>
  <c r="C170" i="4"/>
  <c r="A169" i="5" s="1"/>
  <c r="C171" i="4"/>
  <c r="A170" i="5" s="1"/>
  <c r="C172" i="4"/>
  <c r="A171" i="5" s="1"/>
  <c r="C173" i="4"/>
  <c r="A172" i="5" s="1"/>
  <c r="C174" i="4"/>
  <c r="A173" i="5" s="1"/>
  <c r="C175" i="4"/>
  <c r="A174" i="5" s="1"/>
  <c r="C176" i="4"/>
  <c r="A175" i="5" s="1"/>
  <c r="C177" i="4"/>
  <c r="A176" i="5" s="1"/>
  <c r="C178" i="4"/>
  <c r="A177" i="5" s="1"/>
  <c r="C179" i="4"/>
  <c r="A178" i="5" s="1"/>
  <c r="C180" i="4"/>
  <c r="A179" i="5" s="1"/>
  <c r="C181" i="4"/>
  <c r="A180" i="5" s="1"/>
  <c r="C182" i="4"/>
  <c r="A181" i="5" s="1"/>
  <c r="C183" i="4"/>
  <c r="A182" i="5" s="1"/>
  <c r="C184" i="4"/>
  <c r="A183" i="5" s="1"/>
  <c r="C185" i="4"/>
  <c r="A184" i="5" s="1"/>
  <c r="C186" i="4"/>
  <c r="A185" i="5" s="1"/>
  <c r="C187" i="4"/>
  <c r="A186" i="5" s="1"/>
  <c r="C188" i="4"/>
  <c r="A187" i="5" s="1"/>
  <c r="C189" i="4"/>
  <c r="A188" i="5" s="1"/>
  <c r="C190" i="4"/>
  <c r="A189" i="5" s="1"/>
  <c r="C191" i="4"/>
  <c r="A190" i="5" s="1"/>
  <c r="C192" i="4"/>
  <c r="A191" i="5" s="1"/>
  <c r="C193" i="4"/>
  <c r="A192" i="5" s="1"/>
  <c r="C194" i="4"/>
  <c r="A193" i="5" s="1"/>
  <c r="C195" i="4"/>
  <c r="A194" i="5" s="1"/>
  <c r="C196" i="4"/>
  <c r="A195" i="5" s="1"/>
  <c r="C197" i="4"/>
  <c r="A196" i="5" s="1"/>
  <c r="C198" i="4"/>
  <c r="A197" i="5" s="1"/>
  <c r="C199" i="4"/>
  <c r="A198" i="5" s="1"/>
  <c r="C200" i="4"/>
  <c r="A199" i="5" s="1"/>
  <c r="C201" i="4"/>
  <c r="A200" i="5" s="1"/>
  <c r="C202" i="4"/>
  <c r="A201" i="5" s="1"/>
  <c r="C203" i="4"/>
  <c r="A202" i="5" s="1"/>
  <c r="C204" i="4"/>
  <c r="A203" i="5" s="1"/>
  <c r="C205" i="4"/>
  <c r="A204" i="5" s="1"/>
  <c r="C206" i="4"/>
  <c r="A205" i="5" s="1"/>
  <c r="C207" i="4"/>
  <c r="A206" i="5" s="1"/>
  <c r="C208" i="4"/>
  <c r="A207" i="5" s="1"/>
  <c r="C209" i="4"/>
  <c r="A208" i="5" s="1"/>
  <c r="C210" i="4"/>
  <c r="A209" i="5" s="1"/>
  <c r="C211" i="4"/>
  <c r="A210" i="5" s="1"/>
  <c r="C212" i="4"/>
  <c r="A211" i="5" s="1"/>
  <c r="C213" i="4"/>
  <c r="A212" i="5" s="1"/>
  <c r="C214" i="4"/>
  <c r="A213" i="5" s="1"/>
  <c r="C215" i="4"/>
  <c r="A214" i="5" s="1"/>
  <c r="C216" i="4"/>
  <c r="A215" i="5" s="1"/>
  <c r="C217" i="4"/>
  <c r="A216" i="5" s="1"/>
  <c r="C218" i="4"/>
  <c r="A217" i="5" s="1"/>
  <c r="C219" i="4"/>
  <c r="A218" i="5" s="1"/>
  <c r="C220" i="4"/>
  <c r="A219" i="5" s="1"/>
  <c r="C221" i="4"/>
  <c r="A220" i="5" s="1"/>
  <c r="C222" i="4"/>
  <c r="A221" i="5" s="1"/>
  <c r="C223" i="4"/>
  <c r="A222" i="5" s="1"/>
  <c r="C224" i="4"/>
  <c r="A223" i="5" s="1"/>
  <c r="C225" i="4"/>
  <c r="A224" i="5" s="1"/>
  <c r="C226" i="4"/>
  <c r="A225" i="5" s="1"/>
  <c r="C227" i="4"/>
  <c r="A226" i="5" s="1"/>
  <c r="C228" i="4"/>
  <c r="A227" i="5" s="1"/>
  <c r="C229" i="4"/>
  <c r="A228" i="5" s="1"/>
  <c r="C230" i="4"/>
  <c r="A229" i="5" s="1"/>
  <c r="C231" i="4"/>
  <c r="A230" i="5" s="1"/>
  <c r="C232" i="4"/>
  <c r="A231" i="5" s="1"/>
  <c r="C233" i="4"/>
  <c r="A232" i="5" s="1"/>
  <c r="C234" i="4"/>
  <c r="A233" i="5" s="1"/>
  <c r="C235" i="4"/>
  <c r="A234" i="5" s="1"/>
  <c r="C236" i="4"/>
  <c r="A235" i="5" s="1"/>
  <c r="C237" i="4"/>
  <c r="A236" i="5" s="1"/>
  <c r="C238" i="4"/>
  <c r="A237" i="5" s="1"/>
  <c r="C239" i="4"/>
  <c r="A238" i="5" s="1"/>
  <c r="C240" i="4"/>
  <c r="A239" i="5" s="1"/>
  <c r="C241" i="4"/>
  <c r="A240" i="5" s="1"/>
  <c r="C242" i="4"/>
  <c r="A241" i="5" s="1"/>
  <c r="C243" i="4"/>
  <c r="A242" i="5" s="1"/>
  <c r="C244" i="4"/>
  <c r="A243" i="5" s="1"/>
  <c r="C245" i="4"/>
  <c r="A244" i="5" s="1"/>
  <c r="C246" i="4"/>
  <c r="A245" i="5" s="1"/>
  <c r="C247" i="4"/>
  <c r="A246" i="5" s="1"/>
  <c r="C248" i="4"/>
  <c r="A247" i="5" s="1"/>
  <c r="C249" i="4"/>
  <c r="A248" i="5" s="1"/>
  <c r="C250" i="4"/>
  <c r="A249" i="5" s="1"/>
  <c r="C251" i="4"/>
  <c r="A250" i="5" s="1"/>
  <c r="C252" i="4"/>
  <c r="A251" i="5" s="1"/>
  <c r="C253" i="4"/>
  <c r="A252" i="5" s="1"/>
  <c r="C254" i="4"/>
  <c r="A253" i="5" s="1"/>
  <c r="C255" i="4"/>
  <c r="A254" i="5" s="1"/>
  <c r="C256" i="4"/>
  <c r="A255" i="5" s="1"/>
  <c r="C257" i="4"/>
  <c r="A256" i="5" s="1"/>
  <c r="C258" i="4"/>
  <c r="A257" i="5" s="1"/>
  <c r="C259" i="4"/>
  <c r="A258" i="5" s="1"/>
  <c r="C260" i="4"/>
  <c r="A259" i="5" s="1"/>
  <c r="C261" i="4"/>
  <c r="A260" i="5" s="1"/>
  <c r="C262" i="4"/>
  <c r="A261" i="5" s="1"/>
  <c r="C263" i="4"/>
  <c r="A262" i="5" s="1"/>
  <c r="C264" i="4"/>
  <c r="A263" i="5" s="1"/>
  <c r="C265" i="4"/>
  <c r="A264" i="5" s="1"/>
  <c r="C266" i="4"/>
  <c r="A265" i="5" s="1"/>
  <c r="C267" i="4"/>
  <c r="A266" i="5" s="1"/>
  <c r="C268" i="4"/>
  <c r="A267" i="5" s="1"/>
  <c r="C269" i="4"/>
  <c r="A268" i="5" s="1"/>
  <c r="C270" i="4"/>
  <c r="A269" i="5" s="1"/>
  <c r="C271" i="4"/>
  <c r="A270" i="5" s="1"/>
  <c r="C272" i="4"/>
  <c r="A271" i="5" s="1"/>
  <c r="C273" i="4"/>
  <c r="A272" i="5" s="1"/>
  <c r="C274" i="4"/>
  <c r="A273" i="5" s="1"/>
  <c r="C275" i="4"/>
  <c r="A274" i="5" s="1"/>
  <c r="C276" i="4"/>
  <c r="A275" i="5" s="1"/>
  <c r="C277" i="4"/>
  <c r="A276" i="5" s="1"/>
  <c r="C278" i="4"/>
  <c r="A277" i="5" s="1"/>
  <c r="C279" i="4"/>
  <c r="A278" i="5" s="1"/>
  <c r="C280" i="4"/>
  <c r="A279" i="5" s="1"/>
  <c r="C281" i="4"/>
  <c r="A280" i="5" s="1"/>
  <c r="C282" i="4"/>
  <c r="A281" i="5" s="1"/>
  <c r="C283" i="4"/>
  <c r="A282" i="5" s="1"/>
  <c r="C284" i="4"/>
  <c r="A283" i="5" s="1"/>
  <c r="C285" i="4"/>
  <c r="A284" i="5" s="1"/>
  <c r="C286" i="4"/>
  <c r="A285" i="5" s="1"/>
  <c r="C287" i="4"/>
  <c r="A286" i="5" s="1"/>
  <c r="C288" i="4"/>
  <c r="A287" i="5" s="1"/>
  <c r="C289" i="4"/>
  <c r="A288" i="5" s="1"/>
  <c r="C290" i="4"/>
  <c r="A289" i="5" s="1"/>
  <c r="C291" i="4"/>
  <c r="A290" i="5" s="1"/>
  <c r="C292" i="4"/>
  <c r="A291" i="5" s="1"/>
  <c r="C293" i="4"/>
  <c r="A292" i="5" s="1"/>
  <c r="C294" i="4"/>
  <c r="A293" i="5" s="1"/>
  <c r="C295" i="4"/>
  <c r="A294" i="5" s="1"/>
  <c r="C296" i="4"/>
  <c r="A295" i="5" s="1"/>
  <c r="C297" i="4"/>
  <c r="A296" i="5" s="1"/>
  <c r="C298" i="4"/>
  <c r="A297" i="5" s="1"/>
  <c r="C299" i="4"/>
  <c r="A298" i="5" s="1"/>
  <c r="C300" i="4"/>
  <c r="A299" i="5" s="1"/>
  <c r="C301" i="4"/>
  <c r="A300" i="5" s="1"/>
  <c r="C302" i="4"/>
  <c r="A301" i="5" s="1"/>
  <c r="C303" i="4"/>
  <c r="A302" i="5" s="1"/>
  <c r="C304" i="4"/>
  <c r="A303" i="5" s="1"/>
  <c r="C305" i="4"/>
  <c r="A304" i="5" s="1"/>
  <c r="C306" i="4"/>
  <c r="A305" i="5" s="1"/>
  <c r="C307" i="4"/>
  <c r="A306" i="5" s="1"/>
  <c r="C308" i="4"/>
  <c r="A307" i="5" s="1"/>
  <c r="C309" i="4"/>
  <c r="A308" i="5" s="1"/>
  <c r="C310" i="4"/>
  <c r="A309" i="5" s="1"/>
  <c r="C311" i="4"/>
  <c r="A310" i="5" s="1"/>
  <c r="C312" i="4"/>
  <c r="A311" i="5" s="1"/>
  <c r="C313" i="4"/>
  <c r="A312" i="5" s="1"/>
  <c r="C314" i="4"/>
  <c r="A313" i="5" s="1"/>
  <c r="C315" i="4"/>
  <c r="A314" i="5" s="1"/>
  <c r="C316" i="4"/>
  <c r="A315" i="5" s="1"/>
  <c r="C317" i="4"/>
  <c r="A316" i="5" s="1"/>
  <c r="C318" i="4"/>
  <c r="A317" i="5" s="1"/>
  <c r="C319" i="4"/>
  <c r="A318" i="5" s="1"/>
  <c r="C320" i="4"/>
  <c r="A319" i="5" s="1"/>
  <c r="C321" i="4"/>
  <c r="A320" i="5" s="1"/>
  <c r="C322" i="4"/>
  <c r="A321" i="5" s="1"/>
  <c r="C323" i="4"/>
  <c r="A322" i="5" s="1"/>
  <c r="C324" i="4"/>
  <c r="A323" i="5" s="1"/>
  <c r="C325" i="4"/>
  <c r="A324" i="5" s="1"/>
  <c r="C326" i="4"/>
  <c r="A325" i="5" s="1"/>
  <c r="C327" i="4"/>
  <c r="A326" i="5" s="1"/>
  <c r="C328" i="4"/>
  <c r="A327" i="5" s="1"/>
  <c r="C329" i="4"/>
  <c r="A328" i="5" s="1"/>
  <c r="C330" i="4"/>
  <c r="A329" i="5" s="1"/>
  <c r="C331" i="4"/>
  <c r="A330" i="5" s="1"/>
  <c r="C332" i="4"/>
  <c r="A331" i="5" s="1"/>
  <c r="C333" i="4"/>
  <c r="A332" i="5" s="1"/>
  <c r="C334" i="4"/>
  <c r="A333" i="5" s="1"/>
  <c r="C335" i="4"/>
  <c r="A334" i="5" s="1"/>
  <c r="C336" i="4"/>
  <c r="A335" i="5" s="1"/>
  <c r="C337" i="4"/>
  <c r="A336" i="5" s="1"/>
  <c r="C338" i="4"/>
  <c r="A337" i="5" s="1"/>
  <c r="C339" i="4"/>
  <c r="A338" i="5" s="1"/>
  <c r="C340" i="4"/>
  <c r="A339" i="5" s="1"/>
  <c r="C341" i="4"/>
  <c r="A340" i="5" s="1"/>
  <c r="C342" i="4"/>
  <c r="A341" i="5" s="1"/>
  <c r="C343" i="4"/>
  <c r="A342" i="5" s="1"/>
  <c r="C344" i="4"/>
  <c r="A343" i="5" s="1"/>
  <c r="C345" i="4"/>
  <c r="A344" i="5" s="1"/>
  <c r="C346" i="4"/>
  <c r="A345" i="5" s="1"/>
  <c r="C347" i="4"/>
  <c r="A346" i="5" s="1"/>
  <c r="C348" i="4"/>
  <c r="A347" i="5" s="1"/>
  <c r="C349" i="4"/>
  <c r="A348" i="5" s="1"/>
  <c r="C350" i="4"/>
  <c r="A349" i="5" s="1"/>
  <c r="C351" i="4"/>
  <c r="A350" i="5" s="1"/>
  <c r="C352" i="4"/>
  <c r="A351" i="5" s="1"/>
  <c r="C353" i="4"/>
  <c r="A352" i="5" s="1"/>
  <c r="C354" i="4"/>
  <c r="A353" i="5" s="1"/>
  <c r="C355" i="4"/>
  <c r="A354" i="5" s="1"/>
  <c r="C356" i="4"/>
  <c r="A355" i="5" s="1"/>
  <c r="C357" i="4"/>
  <c r="A356" i="5" s="1"/>
  <c r="C358" i="4"/>
  <c r="A357" i="5" s="1"/>
  <c r="C359" i="4"/>
  <c r="A358" i="5" s="1"/>
  <c r="C360" i="4"/>
  <c r="A359" i="5" s="1"/>
  <c r="C361" i="4"/>
  <c r="A360" i="5" s="1"/>
  <c r="C362" i="4"/>
  <c r="A361" i="5" s="1"/>
  <c r="C363" i="4"/>
  <c r="A362" i="5" s="1"/>
  <c r="C364" i="4"/>
  <c r="A363" i="5" s="1"/>
  <c r="C365" i="4"/>
  <c r="A364" i="5" s="1"/>
  <c r="C366" i="4"/>
  <c r="A365" i="5" s="1"/>
  <c r="C367" i="4"/>
  <c r="A366" i="5" s="1"/>
  <c r="C368" i="4"/>
  <c r="A367" i="5" s="1"/>
  <c r="C369" i="4"/>
  <c r="A368" i="5" s="1"/>
  <c r="C370" i="4"/>
  <c r="A369" i="5" s="1"/>
  <c r="C371" i="4"/>
  <c r="A370" i="5" s="1"/>
  <c r="C372" i="4"/>
  <c r="A371" i="5" s="1"/>
  <c r="C373" i="4"/>
  <c r="A372" i="5" s="1"/>
  <c r="C374" i="4"/>
  <c r="A373" i="5" s="1"/>
  <c r="C375" i="4"/>
  <c r="A374" i="5" s="1"/>
  <c r="C376" i="4"/>
  <c r="A375" i="5" s="1"/>
  <c r="C377" i="4"/>
  <c r="A376" i="5" s="1"/>
  <c r="C378" i="4"/>
  <c r="A377" i="5" s="1"/>
  <c r="C379" i="4"/>
  <c r="A378" i="5" s="1"/>
  <c r="C380" i="4"/>
  <c r="A379" i="5" s="1"/>
  <c r="C381" i="4"/>
  <c r="A380" i="5" s="1"/>
  <c r="C382" i="4"/>
  <c r="A381" i="5" s="1"/>
  <c r="C383" i="4"/>
  <c r="A382" i="5" s="1"/>
  <c r="C384" i="4"/>
  <c r="A383" i="5" s="1"/>
  <c r="C385" i="4"/>
  <c r="A384" i="5" s="1"/>
  <c r="C386" i="4"/>
  <c r="A385" i="5" s="1"/>
  <c r="C387" i="4"/>
  <c r="A386" i="5" s="1"/>
  <c r="C388" i="4"/>
  <c r="A387" i="5" s="1"/>
  <c r="C389" i="4"/>
  <c r="A388" i="5" s="1"/>
  <c r="C390" i="4"/>
  <c r="A389" i="5" s="1"/>
  <c r="C391" i="4"/>
  <c r="A390" i="5" s="1"/>
  <c r="C392" i="4"/>
  <c r="A391" i="5" s="1"/>
  <c r="C393" i="4"/>
  <c r="A392" i="5" s="1"/>
  <c r="C394" i="4"/>
  <c r="A393" i="5" s="1"/>
  <c r="C395" i="4"/>
  <c r="A394" i="5" s="1"/>
  <c r="C396" i="4"/>
  <c r="A395" i="5" s="1"/>
  <c r="C397" i="4"/>
  <c r="A396" i="5" s="1"/>
  <c r="C398" i="4"/>
  <c r="A397" i="5" s="1"/>
  <c r="C399" i="4"/>
  <c r="A398" i="5" s="1"/>
  <c r="C400" i="4"/>
  <c r="A399" i="5" s="1"/>
  <c r="C401" i="4"/>
  <c r="A400" i="5" s="1"/>
  <c r="C402" i="4"/>
  <c r="A401" i="5" s="1"/>
  <c r="C403" i="4"/>
  <c r="A402" i="5" s="1"/>
  <c r="C404" i="4"/>
  <c r="A403" i="5" s="1"/>
  <c r="C405" i="4"/>
  <c r="A404" i="5" s="1"/>
  <c r="C406" i="4"/>
  <c r="A405" i="5" s="1"/>
  <c r="C407" i="4"/>
  <c r="A406" i="5" s="1"/>
  <c r="C408" i="4"/>
  <c r="A407" i="5" s="1"/>
  <c r="C409" i="4"/>
  <c r="A408" i="5" s="1"/>
  <c r="C410" i="4"/>
  <c r="A409" i="5" s="1"/>
  <c r="C411" i="4"/>
  <c r="A410" i="5" s="1"/>
  <c r="C412" i="4"/>
  <c r="A411" i="5" s="1"/>
  <c r="C413" i="4"/>
  <c r="A412" i="5" s="1"/>
  <c r="C414" i="4"/>
  <c r="A413" i="5" s="1"/>
  <c r="C415" i="4"/>
  <c r="A414" i="5" s="1"/>
  <c r="C416" i="4"/>
  <c r="A415" i="5" s="1"/>
  <c r="C417" i="4"/>
  <c r="A416" i="5" s="1"/>
  <c r="C418" i="4"/>
  <c r="A417" i="5" s="1"/>
  <c r="C419" i="4"/>
  <c r="A418" i="5" s="1"/>
  <c r="C420" i="4"/>
  <c r="A419" i="5" s="1"/>
  <c r="C421" i="4"/>
  <c r="A420" i="5" s="1"/>
  <c r="C422" i="4"/>
  <c r="A421" i="5" s="1"/>
  <c r="C423" i="4"/>
  <c r="A422" i="5" s="1"/>
  <c r="C424" i="4"/>
  <c r="A423" i="5" s="1"/>
  <c r="C425" i="4"/>
  <c r="A424" i="5" s="1"/>
  <c r="C426" i="4"/>
  <c r="A425" i="5" s="1"/>
  <c r="C427" i="4"/>
  <c r="A426" i="5" s="1"/>
  <c r="C428" i="4"/>
  <c r="A427" i="5" s="1"/>
  <c r="C429" i="4"/>
  <c r="A428" i="5" s="1"/>
  <c r="C430" i="4"/>
  <c r="A429" i="5" s="1"/>
  <c r="C431" i="4"/>
  <c r="A430" i="5" s="1"/>
  <c r="C432" i="4"/>
  <c r="A431" i="5" s="1"/>
  <c r="C433" i="4"/>
  <c r="A432" i="5" s="1"/>
  <c r="C434" i="4"/>
  <c r="A433" i="5" s="1"/>
  <c r="C435" i="4"/>
  <c r="A434" i="5" s="1"/>
  <c r="C436" i="4"/>
  <c r="A435" i="5" s="1"/>
  <c r="C437" i="4"/>
  <c r="A436" i="5" s="1"/>
  <c r="C438" i="4"/>
  <c r="A437" i="5" s="1"/>
  <c r="C439" i="4"/>
  <c r="A438" i="5" s="1"/>
  <c r="C440" i="4"/>
  <c r="A439" i="5" s="1"/>
  <c r="C441" i="4"/>
  <c r="A440" i="5" s="1"/>
  <c r="C442" i="4"/>
  <c r="A441" i="5" s="1"/>
  <c r="C443" i="4"/>
  <c r="A442" i="5" s="1"/>
  <c r="C444" i="4"/>
  <c r="A443" i="5" s="1"/>
  <c r="C445" i="4"/>
  <c r="A444" i="5" s="1"/>
  <c r="C446" i="4"/>
  <c r="A445" i="5" s="1"/>
  <c r="C447" i="4"/>
  <c r="A446" i="5" s="1"/>
  <c r="C448" i="4"/>
  <c r="A447" i="5" s="1"/>
  <c r="C449" i="4"/>
  <c r="A448" i="5" s="1"/>
  <c r="C450" i="4"/>
  <c r="A449" i="5" s="1"/>
  <c r="C451" i="4"/>
  <c r="A450" i="5" s="1"/>
  <c r="C452" i="4"/>
  <c r="A451" i="5" s="1"/>
  <c r="C453" i="4"/>
  <c r="A452" i="5" s="1"/>
  <c r="C454" i="4"/>
  <c r="A453" i="5" s="1"/>
  <c r="C455" i="4"/>
  <c r="A454" i="5" s="1"/>
  <c r="C456" i="4"/>
  <c r="A455" i="5" s="1"/>
  <c r="C457" i="4"/>
  <c r="A456" i="5" s="1"/>
  <c r="C458" i="4"/>
  <c r="A457" i="5" s="1"/>
  <c r="C459" i="4"/>
  <c r="A458" i="5" s="1"/>
  <c r="C460" i="4"/>
  <c r="A459" i="5" s="1"/>
  <c r="C461" i="4"/>
  <c r="A460" i="5" s="1"/>
  <c r="C462" i="4"/>
  <c r="A461" i="5" s="1"/>
  <c r="C463" i="4"/>
  <c r="A462" i="5" s="1"/>
  <c r="C464" i="4"/>
  <c r="A463" i="5" s="1"/>
  <c r="C465" i="4"/>
  <c r="A464" i="5" s="1"/>
  <c r="C466" i="4"/>
  <c r="A465" i="5" s="1"/>
  <c r="C467" i="4"/>
  <c r="A466" i="5" s="1"/>
  <c r="C468" i="4"/>
  <c r="A467" i="5" s="1"/>
  <c r="C469" i="4"/>
  <c r="A468" i="5" s="1"/>
  <c r="C470" i="4"/>
  <c r="A469" i="5" s="1"/>
  <c r="C471" i="4"/>
  <c r="A470" i="5" s="1"/>
  <c r="C472" i="4"/>
  <c r="A471" i="5" s="1"/>
  <c r="C473" i="4"/>
  <c r="A472" i="5" s="1"/>
  <c r="C474" i="4"/>
  <c r="A473" i="5" s="1"/>
  <c r="C475" i="4"/>
  <c r="A474" i="5" s="1"/>
  <c r="C476" i="4"/>
  <c r="A475" i="5" s="1"/>
  <c r="C477" i="4"/>
  <c r="A476" i="5" s="1"/>
  <c r="C478" i="4"/>
  <c r="A477" i="5" s="1"/>
  <c r="C479" i="4"/>
  <c r="A478" i="5" s="1"/>
  <c r="C480" i="4"/>
  <c r="A479" i="5" s="1"/>
  <c r="C481" i="4"/>
  <c r="A480" i="5" s="1"/>
  <c r="C482" i="4"/>
  <c r="A481" i="5" s="1"/>
  <c r="C483" i="4"/>
  <c r="A482" i="5" s="1"/>
  <c r="C484" i="4"/>
  <c r="A483" i="5" s="1"/>
  <c r="F2" i="5" l="1"/>
  <c r="G2" i="5" s="1"/>
  <c r="F3" i="5"/>
  <c r="G3" i="5" s="1"/>
  <c r="F4" i="5"/>
  <c r="G4" i="5" s="1"/>
  <c r="F5" i="5"/>
  <c r="G5" i="5" s="1"/>
  <c r="F6" i="5"/>
  <c r="G6" i="5" s="1"/>
  <c r="F7" i="5"/>
  <c r="G7" i="5" s="1"/>
  <c r="F8" i="5"/>
  <c r="G8" i="5" s="1"/>
  <c r="F9" i="5"/>
  <c r="G9" i="5" s="1"/>
  <c r="F10" i="5"/>
  <c r="G10" i="5" s="1"/>
  <c r="F11" i="5"/>
  <c r="G11" i="5" s="1"/>
  <c r="F12" i="5"/>
  <c r="G12" i="5" s="1"/>
  <c r="F13" i="5"/>
  <c r="G13" i="5" s="1"/>
  <c r="F14" i="5"/>
  <c r="G14" i="5" s="1"/>
  <c r="F15" i="5"/>
  <c r="G15" i="5" s="1"/>
  <c r="F16" i="5"/>
  <c r="G16" i="5" s="1"/>
  <c r="F17" i="5"/>
  <c r="G17" i="5" s="1"/>
  <c r="F18" i="5"/>
  <c r="G18" i="5" s="1"/>
  <c r="F19" i="5"/>
  <c r="G19" i="5" s="1"/>
  <c r="F20" i="5"/>
  <c r="G20" i="5" s="1"/>
  <c r="F21" i="5"/>
  <c r="G21" i="5" s="1"/>
  <c r="F22" i="5"/>
  <c r="G22" i="5" s="1"/>
  <c r="F23" i="5"/>
  <c r="G23" i="5" s="1"/>
  <c r="F24" i="5"/>
  <c r="G24" i="5" s="1"/>
  <c r="F25" i="5"/>
  <c r="G25" i="5" s="1"/>
  <c r="F26" i="5"/>
  <c r="G26" i="5" s="1"/>
  <c r="F27" i="5"/>
  <c r="G27" i="5" s="1"/>
  <c r="F28" i="5"/>
  <c r="G28" i="5" s="1"/>
  <c r="F29" i="5"/>
  <c r="G29" i="5" s="1"/>
  <c r="F30" i="5"/>
  <c r="G30" i="5" s="1"/>
  <c r="F31" i="5"/>
  <c r="G31" i="5" s="1"/>
  <c r="F32" i="5"/>
  <c r="G32" i="5" s="1"/>
  <c r="F34" i="5"/>
  <c r="G34" i="5" s="1"/>
  <c r="F36" i="5"/>
  <c r="G36" i="5" s="1"/>
  <c r="F38" i="5"/>
  <c r="G38" i="5" s="1"/>
  <c r="F40" i="5"/>
  <c r="G40" i="5" s="1"/>
  <c r="F43" i="5"/>
  <c r="G43" i="5" s="1"/>
  <c r="F45" i="5"/>
  <c r="G45" i="5" s="1"/>
  <c r="F46" i="5"/>
  <c r="G46" i="5" s="1"/>
  <c r="F48" i="5"/>
  <c r="G48" i="5" s="1"/>
  <c r="F51" i="5"/>
  <c r="G51" i="5" s="1"/>
  <c r="F55" i="5"/>
  <c r="G55" i="5" s="1"/>
  <c r="F57" i="5"/>
  <c r="G57" i="5" s="1"/>
  <c r="F200" i="5"/>
  <c r="G200" i="5" s="1"/>
  <c r="F218" i="5"/>
  <c r="G218" i="5" s="1"/>
  <c r="F223" i="5"/>
  <c r="G223" i="5" s="1"/>
  <c r="F233" i="5"/>
  <c r="G233" i="5" s="1"/>
  <c r="F60" i="5"/>
  <c r="G60" i="5" s="1"/>
  <c r="F61" i="5"/>
  <c r="G61" i="5" s="1"/>
  <c r="F62" i="5"/>
  <c r="G62" i="5" s="1"/>
  <c r="F63" i="5"/>
  <c r="G63" i="5" s="1"/>
  <c r="F64" i="5"/>
  <c r="G64" i="5" s="1"/>
  <c r="F65" i="5"/>
  <c r="G65" i="5" s="1"/>
  <c r="F66" i="5"/>
  <c r="G66" i="5" s="1"/>
  <c r="F67" i="5"/>
  <c r="G67" i="5" s="1"/>
  <c r="F68" i="5"/>
  <c r="G68" i="5" s="1"/>
  <c r="F69" i="5"/>
  <c r="G69" i="5" s="1"/>
  <c r="F70" i="5"/>
  <c r="G70" i="5" s="1"/>
  <c r="F71" i="5"/>
  <c r="G71" i="5" s="1"/>
  <c r="F72" i="5"/>
  <c r="G72" i="5" s="1"/>
  <c r="F73" i="5"/>
  <c r="G73" i="5" s="1"/>
  <c r="F74" i="5"/>
  <c r="G74" i="5" s="1"/>
  <c r="F75" i="5"/>
  <c r="G75" i="5" s="1"/>
  <c r="F76" i="5"/>
  <c r="G76" i="5" s="1"/>
  <c r="F77" i="5"/>
  <c r="G77" i="5" s="1"/>
  <c r="F78" i="5"/>
  <c r="G78" i="5" s="1"/>
  <c r="F79" i="5"/>
  <c r="G79" i="5" s="1"/>
  <c r="F80" i="5"/>
  <c r="G80" i="5" s="1"/>
  <c r="F81" i="5"/>
  <c r="G81" i="5" s="1"/>
  <c r="F82" i="5"/>
  <c r="G82" i="5" s="1"/>
  <c r="F83" i="5"/>
  <c r="G83" i="5" s="1"/>
  <c r="F84" i="5"/>
  <c r="G84" i="5" s="1"/>
  <c r="F85" i="5"/>
  <c r="G85" i="5" s="1"/>
  <c r="F86" i="5"/>
  <c r="G86" i="5" s="1"/>
  <c r="F87" i="5"/>
  <c r="G87" i="5" s="1"/>
  <c r="F88" i="5"/>
  <c r="G88" i="5" s="1"/>
  <c r="F89" i="5"/>
  <c r="G89" i="5" s="1"/>
  <c r="F90" i="5"/>
  <c r="G90" i="5" s="1"/>
  <c r="F91" i="5"/>
  <c r="G91" i="5" s="1"/>
  <c r="F92" i="5"/>
  <c r="G92" i="5" s="1"/>
  <c r="F93" i="5"/>
  <c r="G93" i="5" s="1"/>
  <c r="F94" i="5"/>
  <c r="G94" i="5" s="1"/>
  <c r="F95" i="5"/>
  <c r="G95" i="5" s="1"/>
  <c r="F127" i="5"/>
  <c r="G127" i="5" s="1"/>
  <c r="F128" i="5"/>
  <c r="G128" i="5" s="1"/>
  <c r="F130" i="5"/>
  <c r="G130" i="5" s="1"/>
  <c r="F163" i="5"/>
  <c r="G163" i="5" s="1"/>
  <c r="F164" i="5"/>
  <c r="G164" i="5" s="1"/>
  <c r="F169" i="5"/>
  <c r="G169" i="5" s="1"/>
  <c r="F173" i="5"/>
  <c r="G173" i="5" s="1"/>
  <c r="F176" i="5"/>
  <c r="G176" i="5" s="1"/>
  <c r="F179" i="5"/>
  <c r="G179" i="5" s="1"/>
  <c r="F181" i="5"/>
  <c r="G181" i="5" s="1"/>
  <c r="F185" i="5"/>
  <c r="G185" i="5" s="1"/>
  <c r="F189" i="5"/>
  <c r="G189" i="5" s="1"/>
  <c r="F193" i="5"/>
  <c r="G193" i="5" s="1"/>
  <c r="F201" i="5"/>
  <c r="G201" i="5" s="1"/>
  <c r="F216" i="5"/>
  <c r="G216" i="5" s="1"/>
  <c r="F222" i="5"/>
  <c r="G222" i="5" s="1"/>
  <c r="F237" i="5"/>
  <c r="G237" i="5" s="1"/>
  <c r="F96" i="5"/>
  <c r="G96" i="5" s="1"/>
  <c r="F97" i="5"/>
  <c r="G97" i="5" s="1"/>
  <c r="F98" i="5"/>
  <c r="G98" i="5" s="1"/>
  <c r="F99" i="5"/>
  <c r="G99" i="5" s="1"/>
  <c r="F100" i="5"/>
  <c r="G100" i="5" s="1"/>
  <c r="F101" i="5"/>
  <c r="G101" i="5" s="1"/>
  <c r="F102" i="5"/>
  <c r="G102" i="5" s="1"/>
  <c r="F103" i="5"/>
  <c r="G103" i="5" s="1"/>
  <c r="F104" i="5"/>
  <c r="G104" i="5" s="1"/>
  <c r="F105" i="5"/>
  <c r="G105" i="5" s="1"/>
  <c r="F106" i="5"/>
  <c r="G106" i="5" s="1"/>
  <c r="F107" i="5"/>
  <c r="G107" i="5" s="1"/>
  <c r="F108" i="5"/>
  <c r="G108" i="5" s="1"/>
  <c r="F109" i="5"/>
  <c r="G109" i="5" s="1"/>
  <c r="F110" i="5"/>
  <c r="G110" i="5" s="1"/>
  <c r="F111" i="5"/>
  <c r="G111" i="5" s="1"/>
  <c r="F112" i="5"/>
  <c r="G112" i="5" s="1"/>
  <c r="F113" i="5"/>
  <c r="G113" i="5" s="1"/>
  <c r="F114" i="5"/>
  <c r="G114" i="5" s="1"/>
  <c r="F115" i="5"/>
  <c r="G115" i="5" s="1"/>
  <c r="F116" i="5"/>
  <c r="G116" i="5" s="1"/>
  <c r="F117" i="5"/>
  <c r="G117" i="5" s="1"/>
  <c r="F118" i="5"/>
  <c r="G118" i="5" s="1"/>
  <c r="F119" i="5"/>
  <c r="G119" i="5" s="1"/>
  <c r="F120" i="5"/>
  <c r="G120" i="5" s="1"/>
  <c r="F121" i="5"/>
  <c r="G121" i="5" s="1"/>
  <c r="F122" i="5"/>
  <c r="G122" i="5" s="1"/>
  <c r="F123" i="5"/>
  <c r="G123" i="5" s="1"/>
  <c r="F124" i="5"/>
  <c r="G124" i="5" s="1"/>
  <c r="F125" i="5"/>
  <c r="G125" i="5" s="1"/>
  <c r="F126" i="5"/>
  <c r="G126" i="5" s="1"/>
  <c r="F129" i="5"/>
  <c r="G129" i="5" s="1"/>
  <c r="F162" i="5"/>
  <c r="G162" i="5" s="1"/>
  <c r="F166" i="5"/>
  <c r="G166" i="5" s="1"/>
  <c r="F171" i="5"/>
  <c r="G171" i="5" s="1"/>
  <c r="F175" i="5"/>
  <c r="G175" i="5" s="1"/>
  <c r="F180" i="5"/>
  <c r="G180" i="5" s="1"/>
  <c r="F183" i="5"/>
  <c r="G183" i="5" s="1"/>
  <c r="F187" i="5"/>
  <c r="G187" i="5" s="1"/>
  <c r="F192" i="5"/>
  <c r="G192" i="5" s="1"/>
  <c r="F202" i="5"/>
  <c r="G202" i="5" s="1"/>
  <c r="F220" i="5"/>
  <c r="G220" i="5" s="1"/>
  <c r="F227" i="5"/>
  <c r="G227" i="5" s="1"/>
  <c r="F232" i="5"/>
  <c r="G232" i="5" s="1"/>
  <c r="F131" i="5"/>
  <c r="G131" i="5" s="1"/>
  <c r="F132" i="5"/>
  <c r="G132" i="5" s="1"/>
  <c r="F133" i="5"/>
  <c r="G133" i="5" s="1"/>
  <c r="F134" i="5"/>
  <c r="G134" i="5" s="1"/>
  <c r="F135" i="5"/>
  <c r="G135" i="5" s="1"/>
  <c r="F136" i="5"/>
  <c r="G136" i="5" s="1"/>
  <c r="F137" i="5"/>
  <c r="G137" i="5" s="1"/>
  <c r="F138" i="5"/>
  <c r="G138" i="5" s="1"/>
  <c r="F139" i="5"/>
  <c r="G139" i="5" s="1"/>
  <c r="F140" i="5"/>
  <c r="G140" i="5" s="1"/>
  <c r="F141" i="5"/>
  <c r="G141" i="5" s="1"/>
  <c r="F142" i="5"/>
  <c r="G142" i="5" s="1"/>
  <c r="F143" i="5"/>
  <c r="G143" i="5" s="1"/>
  <c r="F144" i="5"/>
  <c r="G144" i="5" s="1"/>
  <c r="F145" i="5"/>
  <c r="G145" i="5" s="1"/>
  <c r="F146" i="5"/>
  <c r="G146" i="5" s="1"/>
  <c r="F147" i="5"/>
  <c r="G147" i="5" s="1"/>
  <c r="F148" i="5"/>
  <c r="G148" i="5" s="1"/>
  <c r="F149" i="5"/>
  <c r="G149" i="5" s="1"/>
  <c r="F150" i="5"/>
  <c r="G150" i="5" s="1"/>
  <c r="F151" i="5"/>
  <c r="G151" i="5" s="1"/>
  <c r="F152" i="5"/>
  <c r="G152" i="5" s="1"/>
  <c r="F153" i="5"/>
  <c r="G153" i="5" s="1"/>
  <c r="F154" i="5"/>
  <c r="G154" i="5" s="1"/>
  <c r="F155" i="5"/>
  <c r="G155" i="5" s="1"/>
  <c r="F156" i="5"/>
  <c r="G156" i="5" s="1"/>
  <c r="F157" i="5"/>
  <c r="G157" i="5" s="1"/>
  <c r="F158" i="5"/>
  <c r="G158" i="5" s="1"/>
  <c r="F159" i="5"/>
  <c r="G159" i="5" s="1"/>
  <c r="F160" i="5"/>
  <c r="G160" i="5" s="1"/>
  <c r="F161" i="5"/>
  <c r="G161" i="5" s="1"/>
  <c r="F165" i="5"/>
  <c r="G165" i="5" s="1"/>
  <c r="F170" i="5"/>
  <c r="G170" i="5" s="1"/>
  <c r="F174" i="5"/>
  <c r="G174" i="5" s="1"/>
  <c r="F177" i="5"/>
  <c r="G177" i="5" s="1"/>
  <c r="F182" i="5"/>
  <c r="G182" i="5" s="1"/>
  <c r="F186" i="5"/>
  <c r="G186" i="5" s="1"/>
  <c r="F190" i="5"/>
  <c r="G190" i="5" s="1"/>
  <c r="F198" i="5"/>
  <c r="G198" i="5" s="1"/>
  <c r="F215" i="5"/>
  <c r="G215" i="5" s="1"/>
  <c r="F228" i="5"/>
  <c r="G228" i="5" s="1"/>
  <c r="F235" i="5"/>
  <c r="G235" i="5" s="1"/>
  <c r="F167" i="5"/>
  <c r="G167" i="5" s="1"/>
  <c r="F168" i="5"/>
  <c r="G168" i="5" s="1"/>
  <c r="F172" i="5"/>
  <c r="G172" i="5" s="1"/>
  <c r="F178" i="5"/>
  <c r="G178" i="5" s="1"/>
  <c r="F184" i="5"/>
  <c r="G184" i="5" s="1"/>
  <c r="F188" i="5"/>
  <c r="G188" i="5" s="1"/>
  <c r="F197" i="5"/>
  <c r="G197" i="5" s="1"/>
  <c r="F214" i="5"/>
  <c r="G214" i="5" s="1"/>
  <c r="F230" i="5"/>
  <c r="G230" i="5" s="1"/>
  <c r="F203" i="5"/>
  <c r="G203" i="5" s="1"/>
  <c r="F204" i="5"/>
  <c r="G204" i="5" s="1"/>
  <c r="F205" i="5"/>
  <c r="G205" i="5" s="1"/>
  <c r="F206" i="5"/>
  <c r="G206" i="5" s="1"/>
  <c r="F207" i="5"/>
  <c r="G207" i="5" s="1"/>
  <c r="F208" i="5"/>
  <c r="G208" i="5" s="1"/>
  <c r="F209" i="5"/>
  <c r="G209" i="5" s="1"/>
  <c r="F210" i="5"/>
  <c r="G210" i="5" s="1"/>
  <c r="F211" i="5"/>
  <c r="G211" i="5" s="1"/>
  <c r="F212" i="5"/>
  <c r="G212" i="5" s="1"/>
  <c r="F219" i="5"/>
  <c r="G219" i="5" s="1"/>
  <c r="F225" i="5"/>
  <c r="G225" i="5" s="1"/>
  <c r="F236" i="5"/>
  <c r="G236" i="5" s="1"/>
  <c r="F239" i="5"/>
  <c r="G239" i="5" s="1"/>
  <c r="F240" i="5"/>
  <c r="G240" i="5" s="1"/>
  <c r="F241" i="5"/>
  <c r="G241" i="5" s="1"/>
  <c r="F242" i="5"/>
  <c r="G242" i="5" s="1"/>
  <c r="F243" i="5"/>
  <c r="G243" i="5" s="1"/>
  <c r="F244" i="5"/>
  <c r="G244" i="5" s="1"/>
  <c r="F245" i="5"/>
  <c r="G245" i="5" s="1"/>
  <c r="F246" i="5"/>
  <c r="G246" i="5" s="1"/>
  <c r="F247" i="5"/>
  <c r="G247" i="5" s="1"/>
  <c r="F248" i="5"/>
  <c r="G248" i="5" s="1"/>
  <c r="F249" i="5"/>
  <c r="G249" i="5" s="1"/>
  <c r="F250" i="5"/>
  <c r="G250" i="5" s="1"/>
  <c r="F251" i="5"/>
  <c r="G251" i="5" s="1"/>
  <c r="F252" i="5"/>
  <c r="G252" i="5" s="1"/>
  <c r="F253" i="5"/>
  <c r="G253" i="5" s="1"/>
  <c r="F33" i="5"/>
  <c r="G33" i="5" s="1"/>
  <c r="F44" i="5"/>
  <c r="G44" i="5" s="1"/>
  <c r="F47" i="5"/>
  <c r="G47" i="5" s="1"/>
  <c r="F49" i="5"/>
  <c r="G49" i="5" s="1"/>
  <c r="F52" i="5"/>
  <c r="G52" i="5" s="1"/>
  <c r="F54" i="5"/>
  <c r="G54" i="5" s="1"/>
  <c r="F58" i="5"/>
  <c r="G58" i="5" s="1"/>
  <c r="F199" i="5"/>
  <c r="G199" i="5" s="1"/>
  <c r="F217" i="5"/>
  <c r="G217" i="5" s="1"/>
  <c r="F224" i="5"/>
  <c r="G224" i="5" s="1"/>
  <c r="F234" i="5"/>
  <c r="G234" i="5" s="1"/>
  <c r="F37" i="5"/>
  <c r="G37" i="5" s="1"/>
  <c r="F53" i="5"/>
  <c r="G53" i="5" s="1"/>
  <c r="F56" i="5"/>
  <c r="G56" i="5" s="1"/>
  <c r="F196" i="5"/>
  <c r="G196" i="5" s="1"/>
  <c r="F229" i="5"/>
  <c r="G229" i="5" s="1"/>
  <c r="F39" i="5"/>
  <c r="G39" i="5" s="1"/>
  <c r="F194" i="5"/>
  <c r="G194" i="5" s="1"/>
  <c r="F42" i="5"/>
  <c r="G42" i="5" s="1"/>
  <c r="F59" i="5"/>
  <c r="G59" i="5" s="1"/>
  <c r="F213" i="5"/>
  <c r="G213" i="5" s="1"/>
  <c r="F231" i="5"/>
  <c r="G231" i="5" s="1"/>
  <c r="F50" i="5"/>
  <c r="G50" i="5" s="1"/>
  <c r="F238" i="5"/>
  <c r="G238" i="5" s="1"/>
  <c r="F195" i="5"/>
  <c r="G195" i="5" s="1"/>
  <c r="F226" i="5"/>
  <c r="G226" i="5" s="1"/>
  <c r="F221" i="5"/>
  <c r="G221" i="5" s="1"/>
  <c r="C235" i="5"/>
  <c r="C244" i="5"/>
  <c r="C273" i="5"/>
  <c r="C239" i="5"/>
  <c r="C2" i="5"/>
  <c r="C7" i="5"/>
  <c r="C8" i="5"/>
  <c r="C9" i="5"/>
  <c r="C10" i="5"/>
  <c r="C11" i="5"/>
  <c r="C12" i="5"/>
  <c r="C13" i="5"/>
  <c r="C14" i="5"/>
  <c r="C15" i="5"/>
  <c r="C16" i="5"/>
  <c r="C17" i="5"/>
  <c r="C18" i="5"/>
  <c r="C19" i="5"/>
  <c r="C20" i="5"/>
  <c r="C21" i="5"/>
  <c r="C22" i="5"/>
  <c r="C23" i="5"/>
  <c r="C24" i="5"/>
  <c r="C25" i="5"/>
  <c r="C26" i="5"/>
  <c r="C27" i="5"/>
  <c r="C284" i="5"/>
  <c r="C286" i="5"/>
  <c r="C297" i="5"/>
  <c r="C299" i="5"/>
  <c r="C28" i="5"/>
  <c r="C29" i="5"/>
  <c r="C30" i="5"/>
  <c r="C31" i="5"/>
  <c r="C32" i="5"/>
  <c r="C33" i="5"/>
  <c r="C34" i="5"/>
  <c r="C35" i="5"/>
  <c r="C36" i="5"/>
  <c r="C37" i="5"/>
  <c r="C38" i="5"/>
  <c r="C39" i="5"/>
  <c r="C40" i="5"/>
  <c r="C41" i="5"/>
  <c r="C42" i="5"/>
  <c r="C43" i="5"/>
  <c r="C44" i="5"/>
  <c r="C45" i="5"/>
  <c r="C46" i="5"/>
  <c r="C47" i="5"/>
  <c r="C48" i="5"/>
  <c r="C49" i="5"/>
  <c r="C51" i="5"/>
  <c r="C65" i="5"/>
  <c r="C73" i="5"/>
  <c r="C75" i="5"/>
  <c r="C76" i="5"/>
  <c r="C78" i="5"/>
  <c r="C89" i="5"/>
  <c r="C90" i="5"/>
  <c r="C91" i="5"/>
  <c r="C103"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83" i="5"/>
  <c r="C285" i="5"/>
  <c r="C293" i="5"/>
  <c r="C298" i="5"/>
  <c r="B623" i="5"/>
  <c r="F41" i="5" s="1"/>
  <c r="G41" i="5" s="1"/>
  <c r="H41" i="5" s="1"/>
  <c r="B624" i="5"/>
  <c r="C274" i="5"/>
  <c r="C275" i="5"/>
  <c r="C276" i="5"/>
  <c r="C277" i="5"/>
  <c r="C278" i="5"/>
  <c r="C279" i="5"/>
  <c r="C280" i="5"/>
  <c r="C281" i="5"/>
  <c r="C282" i="5"/>
  <c r="C287" i="5"/>
  <c r="C288" i="5"/>
  <c r="C289" i="5"/>
  <c r="C290" i="5"/>
  <c r="C291" i="5"/>
  <c r="C292" i="5"/>
  <c r="C294" i="5"/>
  <c r="C295" i="5"/>
  <c r="C296" i="5"/>
  <c r="C300" i="5"/>
  <c r="C301" i="5"/>
  <c r="C302" i="5"/>
  <c r="C303" i="5"/>
  <c r="C304" i="5"/>
  <c r="C305" i="5"/>
  <c r="C306" i="5"/>
  <c r="C307" i="5"/>
  <c r="C308" i="5"/>
  <c r="C313" i="5"/>
  <c r="C314" i="5"/>
  <c r="C315" i="5"/>
  <c r="C316" i="5"/>
  <c r="C317" i="5"/>
  <c r="C320" i="5"/>
  <c r="C341" i="5"/>
  <c r="C342" i="5"/>
  <c r="C343" i="5"/>
  <c r="C346" i="5"/>
  <c r="C347" i="5"/>
  <c r="C352" i="5"/>
  <c r="C353" i="5"/>
  <c r="C354" i="5"/>
  <c r="C355" i="5"/>
  <c r="C356" i="5"/>
  <c r="C359" i="5"/>
  <c r="C360" i="5"/>
  <c r="C72" i="5"/>
  <c r="C80" i="5"/>
  <c r="C83" i="5"/>
  <c r="C106" i="5"/>
  <c r="C55" i="5"/>
  <c r="C82" i="5"/>
  <c r="C86" i="5"/>
  <c r="C97" i="5"/>
  <c r="C105" i="5"/>
  <c r="C67" i="5"/>
  <c r="C74" i="5"/>
  <c r="C79" i="5"/>
  <c r="C87" i="5"/>
  <c r="C60" i="5"/>
  <c r="C84" i="5"/>
  <c r="C100" i="5"/>
  <c r="C71" i="5"/>
  <c r="C81" i="5"/>
  <c r="C85" i="5"/>
  <c r="C88" i="5"/>
  <c r="C95" i="5"/>
  <c r="C101" i="5"/>
  <c r="C107" i="5"/>
  <c r="C93" i="5"/>
  <c r="C3" i="5"/>
  <c r="C5" i="5"/>
  <c r="C4" i="5"/>
  <c r="C6" i="5"/>
  <c r="C50" i="5"/>
  <c r="C52" i="5"/>
  <c r="C53" i="5"/>
  <c r="C54" i="5"/>
  <c r="C56" i="5"/>
  <c r="C57" i="5"/>
  <c r="C58" i="5"/>
  <c r="C59" i="5"/>
  <c r="C61" i="5"/>
  <c r="C62" i="5"/>
  <c r="C63" i="5"/>
  <c r="C64" i="5"/>
  <c r="C66" i="5"/>
  <c r="C68" i="5"/>
  <c r="C69" i="5"/>
  <c r="C70" i="5"/>
  <c r="C92" i="5"/>
  <c r="C94" i="5"/>
  <c r="C96" i="5"/>
  <c r="C98" i="5"/>
  <c r="C99" i="5"/>
  <c r="C102" i="5"/>
  <c r="C77" i="5"/>
  <c r="C1" i="5"/>
  <c r="F191" i="5" l="1"/>
  <c r="G191" i="5" s="1"/>
  <c r="F35" i="5"/>
  <c r="G35" i="5" s="1"/>
  <c r="F1" i="5"/>
  <c r="G1" i="5" s="1"/>
  <c r="H3" i="5"/>
  <c r="H136" i="5"/>
  <c r="H2" i="5"/>
  <c r="H19" i="5"/>
  <c r="H24" i="5"/>
  <c r="H62" i="5"/>
  <c r="H142" i="5"/>
  <c r="H32" i="5"/>
  <c r="H46" i="5"/>
  <c r="H187" i="5"/>
  <c r="H218" i="5"/>
  <c r="H76" i="5"/>
  <c r="H83" i="5"/>
  <c r="H90" i="5"/>
  <c r="H105" i="5"/>
  <c r="H98" i="5"/>
  <c r="H112" i="5"/>
  <c r="H194" i="5"/>
  <c r="H166" i="5"/>
  <c r="H131" i="5"/>
  <c r="H151" i="5"/>
  <c r="H158" i="5"/>
  <c r="H178" i="5"/>
  <c r="H210" i="5"/>
  <c r="H241" i="5"/>
  <c r="H247" i="5"/>
  <c r="H252" i="5"/>
  <c r="H54" i="5"/>
  <c r="H58" i="5"/>
  <c r="H39" i="5"/>
  <c r="H226" i="5"/>
  <c r="H234" i="5"/>
  <c r="H122" i="5"/>
  <c r="H14" i="5"/>
  <c r="H202" i="5"/>
  <c r="H9" i="5"/>
  <c r="H68" i="5"/>
  <c r="C358" i="5"/>
  <c r="H35" i="5" l="1"/>
  <c r="H220" i="5"/>
  <c r="H204" i="5"/>
  <c r="H212" i="5"/>
  <c r="H5" i="5"/>
  <c r="H20" i="5"/>
  <c r="H196" i="5"/>
  <c r="H11" i="5"/>
  <c r="H228" i="5"/>
  <c r="H6" i="5"/>
  <c r="H4" i="5"/>
  <c r="H181" i="5"/>
  <c r="H66" i="5"/>
  <c r="H133" i="5"/>
  <c r="H114" i="5"/>
  <c r="H124" i="5"/>
  <c r="H18" i="5"/>
  <c r="H72" i="5"/>
  <c r="H156" i="5"/>
  <c r="H169" i="5"/>
  <c r="H201" i="5"/>
  <c r="H96" i="5"/>
  <c r="H102" i="5"/>
  <c r="H8" i="5"/>
  <c r="H144" i="5"/>
  <c r="H17" i="5"/>
  <c r="H107" i="5"/>
  <c r="H73" i="5"/>
  <c r="H93" i="5"/>
  <c r="H53" i="5"/>
  <c r="H164" i="5"/>
  <c r="H189" i="5"/>
  <c r="H222" i="5"/>
  <c r="H237" i="5"/>
  <c r="H99" i="5"/>
  <c r="H103" i="5"/>
  <c r="H250" i="5"/>
  <c r="H40" i="5"/>
  <c r="H31" i="5"/>
  <c r="H34" i="5"/>
  <c r="H36" i="5"/>
  <c r="H95" i="5"/>
  <c r="H57" i="5"/>
  <c r="H200" i="5"/>
  <c r="H223" i="5"/>
  <c r="H233" i="5"/>
  <c r="H60" i="5"/>
  <c r="H61" i="5"/>
  <c r="H64" i="5"/>
  <c r="H82" i="5"/>
  <c r="H140" i="5"/>
  <c r="H70" i="5"/>
  <c r="H71" i="5"/>
  <c r="H74" i="5"/>
  <c r="H94" i="5"/>
  <c r="H163" i="5"/>
  <c r="H185" i="5"/>
  <c r="H216" i="5"/>
  <c r="H215" i="5"/>
  <c r="H230" i="5"/>
  <c r="H119" i="5"/>
  <c r="H75" i="5"/>
  <c r="H77" i="5"/>
  <c r="H78" i="5"/>
  <c r="H84" i="5"/>
  <c r="H85" i="5"/>
  <c r="H86" i="5"/>
  <c r="H87" i="5"/>
  <c r="H88" i="5"/>
  <c r="H89" i="5"/>
  <c r="H91" i="5"/>
  <c r="H92" i="5"/>
  <c r="H130" i="5"/>
  <c r="H173" i="5"/>
  <c r="H193" i="5"/>
  <c r="H139" i="5"/>
  <c r="H97" i="5"/>
  <c r="H101" i="5"/>
  <c r="H207" i="5"/>
  <c r="H44" i="5"/>
  <c r="H26" i="5"/>
  <c r="H157" i="5"/>
  <c r="H128" i="5"/>
  <c r="H176" i="5"/>
  <c r="H100" i="5"/>
  <c r="H109" i="5"/>
  <c r="H33" i="5"/>
  <c r="H238" i="5"/>
  <c r="H155" i="5"/>
  <c r="H49" i="5"/>
  <c r="H110" i="5"/>
  <c r="H111" i="5"/>
  <c r="H113" i="5"/>
  <c r="H115" i="5"/>
  <c r="H116" i="5"/>
  <c r="H117" i="5"/>
  <c r="H118" i="5"/>
  <c r="H183" i="5"/>
  <c r="H125" i="5"/>
  <c r="H126" i="5"/>
  <c r="H129" i="5"/>
  <c r="H162" i="5"/>
  <c r="H171" i="5"/>
  <c r="H175" i="5"/>
  <c r="H180" i="5"/>
  <c r="H192" i="5"/>
  <c r="H205" i="5"/>
  <c r="H206" i="5"/>
  <c r="H145" i="5"/>
  <c r="H147" i="5"/>
  <c r="H161" i="5"/>
  <c r="H214" i="5"/>
  <c r="H12" i="5"/>
  <c r="H47" i="5"/>
  <c r="H51" i="5"/>
  <c r="H227" i="5"/>
  <c r="H232" i="5"/>
  <c r="H132" i="5"/>
  <c r="H134" i="5"/>
  <c r="H135" i="5"/>
  <c r="H143" i="5"/>
  <c r="H146" i="5"/>
  <c r="H154" i="5"/>
  <c r="H160" i="5"/>
  <c r="H191" i="5"/>
  <c r="H208" i="5"/>
  <c r="H253" i="5"/>
  <c r="H141" i="5"/>
  <c r="H148" i="5"/>
  <c r="H149" i="5"/>
  <c r="H150" i="5"/>
  <c r="H152" i="5"/>
  <c r="H153" i="5"/>
  <c r="H159" i="5"/>
  <c r="H197" i="5"/>
  <c r="H52" i="5"/>
  <c r="H165" i="5"/>
  <c r="H170" i="5"/>
  <c r="H174" i="5"/>
  <c r="H177" i="5"/>
  <c r="H182" i="5"/>
  <c r="H186" i="5"/>
  <c r="H190" i="5"/>
  <c r="H198" i="5"/>
  <c r="H235" i="5"/>
  <c r="H167" i="5"/>
  <c r="H168" i="5"/>
  <c r="H184" i="5"/>
  <c r="H188" i="5"/>
  <c r="H209" i="5"/>
  <c r="H48" i="5"/>
  <c r="H22" i="5"/>
  <c r="H225" i="5"/>
  <c r="H236" i="5"/>
  <c r="H239" i="5"/>
  <c r="H240" i="5"/>
  <c r="H244" i="5"/>
  <c r="H245" i="5"/>
  <c r="H246" i="5"/>
  <c r="H248" i="5"/>
  <c r="H249" i="5"/>
  <c r="H251" i="5"/>
  <c r="H16" i="5"/>
  <c r="H199" i="5"/>
  <c r="H217" i="5"/>
  <c r="H224" i="5"/>
  <c r="H42" i="5"/>
  <c r="H59" i="5"/>
  <c r="H213" i="5"/>
  <c r="H231" i="5"/>
  <c r="H50" i="5"/>
  <c r="H79" i="5"/>
  <c r="H195" i="5"/>
  <c r="H221" i="5"/>
  <c r="H28" i="5"/>
  <c r="H37" i="5"/>
  <c r="H10" i="5"/>
  <c r="H29" i="5"/>
  <c r="H67" i="5"/>
  <c r="H81" i="5"/>
  <c r="H108" i="5"/>
  <c r="H137" i="5"/>
  <c r="H243" i="5"/>
  <c r="H13" i="5"/>
  <c r="H27" i="5"/>
  <c r="H211" i="5"/>
  <c r="H172" i="5"/>
  <c r="H138" i="5"/>
  <c r="H56" i="5"/>
  <c r="H38" i="5"/>
  <c r="H45" i="5"/>
  <c r="H63" i="5"/>
  <c r="H69" i="5"/>
  <c r="H104" i="5"/>
  <c r="H121" i="5"/>
  <c r="H21" i="5"/>
  <c r="H30" i="5"/>
  <c r="H55" i="5"/>
  <c r="H127" i="5"/>
  <c r="H123" i="5"/>
  <c r="H242" i="5"/>
  <c r="H219" i="5"/>
  <c r="H179" i="5"/>
  <c r="H229" i="5"/>
  <c r="H120" i="5"/>
  <c r="H65" i="5"/>
  <c r="H80" i="5"/>
  <c r="H43" i="5"/>
  <c r="H25" i="5"/>
  <c r="H23" i="5"/>
  <c r="H15" i="5"/>
  <c r="H7" i="5"/>
  <c r="H106" i="5"/>
  <c r="H203" i="5"/>
  <c r="H1" i="5"/>
  <c r="C220" i="3" a="1"/>
  <c r="C220" i="3" s="1"/>
  <c r="C90" i="3" a="1"/>
  <c r="C90" i="3" s="1"/>
  <c r="C83" i="3" a="1"/>
  <c r="C83" i="3" s="1"/>
  <c r="C41" i="3" a="1"/>
  <c r="C41" i="3" s="1"/>
  <c r="C81" i="3" a="1"/>
  <c r="C81" i="3" s="1"/>
  <c r="C86" i="3" a="1"/>
  <c r="C86" i="3" s="1"/>
  <c r="C359" i="3" a="1"/>
  <c r="C359" i="3" s="1"/>
  <c r="C94" i="3" a="1"/>
  <c r="C94" i="3" s="1"/>
  <c r="C87" i="3" a="1"/>
  <c r="C87" i="3" s="1"/>
  <c r="C51" i="3" a="1"/>
  <c r="C51" i="3" s="1"/>
  <c r="C186" i="3" a="1"/>
  <c r="C186" i="3" s="1"/>
  <c r="C146" i="3" a="1"/>
  <c r="C146" i="3" s="1"/>
  <c r="C354" i="3" a="1"/>
  <c r="C354" i="3" s="1"/>
  <c r="C302" i="3" a="1"/>
  <c r="C302" i="3" s="1"/>
  <c r="C290" i="3" a="1"/>
  <c r="C290" i="3" s="1"/>
  <c r="C279" i="3" a="1"/>
  <c r="C279" i="3" s="1"/>
  <c r="C231" i="3" a="1"/>
  <c r="C231" i="3" s="1"/>
  <c r="C253" i="3" a="1"/>
  <c r="C253" i="3" s="1"/>
  <c r="C239" i="3" a="1"/>
  <c r="C239" i="3" s="1"/>
  <c r="C1" i="3" a="1"/>
  <c r="C1" i="3" s="1"/>
  <c r="C240" i="3" a="1"/>
  <c r="C240" i="3" s="1"/>
  <c r="C348" i="3" a="1"/>
  <c r="C348" i="3" s="1"/>
  <c r="C161" i="3" a="1"/>
  <c r="C161" i="3" s="1"/>
  <c r="C342" i="3" a="1"/>
  <c r="C342" i="3" s="1"/>
  <c r="C340" i="3" a="1"/>
  <c r="C340" i="3" s="1"/>
  <c r="C315" i="3" a="1"/>
  <c r="C315" i="3" s="1"/>
  <c r="C314" i="3" a="1"/>
  <c r="C314" i="3" s="1"/>
  <c r="C313" i="3" a="1"/>
  <c r="C313" i="3" s="1"/>
  <c r="C312" i="3" a="1"/>
  <c r="C312" i="3" s="1"/>
  <c r="C311" i="3" a="1"/>
  <c r="C311" i="3" s="1"/>
  <c r="C310" i="3" a="1"/>
  <c r="C310" i="3" s="1"/>
  <c r="C351" i="3" a="1"/>
  <c r="C351" i="3" s="1"/>
  <c r="C301" i="3" a="1"/>
  <c r="C301" i="3" s="1"/>
  <c r="C197" i="3" a="1"/>
  <c r="C197" i="3" s="1"/>
  <c r="C187" i="3" a="1"/>
  <c r="C187" i="3" s="1"/>
  <c r="C177" i="3" a="1"/>
  <c r="C177" i="3" s="1"/>
  <c r="C176" i="3" a="1"/>
  <c r="C176" i="3" s="1"/>
  <c r="C162" i="3" a="1"/>
  <c r="C162" i="3" s="1"/>
  <c r="C160" i="3" a="1"/>
  <c r="C160" i="3" s="1"/>
  <c r="C40" i="3" a="1"/>
  <c r="C40" i="3" s="1"/>
  <c r="C159" i="3" a="1"/>
  <c r="C159" i="3" s="1"/>
  <c r="C158" i="3" a="1"/>
  <c r="C158" i="3" s="1"/>
  <c r="C157" i="3" a="1"/>
  <c r="C157" i="3" s="1"/>
  <c r="C156" i="3" a="1"/>
  <c r="C156" i="3" s="1"/>
  <c r="C357" i="3" a="1"/>
  <c r="C357" i="3" s="1"/>
  <c r="C308" i="3" a="1"/>
  <c r="C308" i="3" s="1"/>
  <c r="C300" i="3" a="1"/>
  <c r="C300" i="3" s="1"/>
  <c r="C295" i="3" a="1"/>
  <c r="C295" i="3" s="1"/>
  <c r="C282" i="3" a="1"/>
  <c r="C282" i="3" s="1"/>
  <c r="C226" i="3" a="1"/>
  <c r="C226" i="3" s="1"/>
  <c r="C219" i="3" a="1"/>
  <c r="C219" i="3" s="1"/>
  <c r="C230" i="3" a="1"/>
  <c r="C230" i="3" s="1"/>
  <c r="C221" i="3" a="1"/>
  <c r="C221" i="3" s="1"/>
  <c r="C209" i="3" a="1"/>
  <c r="C209" i="3" s="1"/>
  <c r="C201" i="3" a="1"/>
  <c r="C201" i="3" s="1"/>
  <c r="C190" i="3" a="1"/>
  <c r="C190" i="3" s="1"/>
  <c r="C182" i="3" a="1"/>
  <c r="C182" i="3" s="1"/>
  <c r="C153" i="3" a="1"/>
  <c r="C153" i="3" s="1"/>
  <c r="C46" i="3" a="1"/>
  <c r="C46" i="3" s="1"/>
  <c r="C144" i="3" a="1"/>
  <c r="C144" i="3" s="1"/>
  <c r="C111" i="3" a="1"/>
  <c r="C111" i="3" s="1"/>
  <c r="C105" i="3" a="1"/>
  <c r="C105" i="3" s="1"/>
  <c r="C74" i="3" a="1"/>
  <c r="C74" i="3" s="1"/>
  <c r="C68" i="3" a="1"/>
  <c r="C68" i="3" s="1"/>
  <c r="C127" i="3" a="1"/>
  <c r="C127" i="3" s="1"/>
  <c r="C118" i="3" a="1"/>
  <c r="C118" i="3" s="1"/>
  <c r="C109" i="3" a="1"/>
  <c r="C109" i="3" s="1"/>
  <c r="C78" i="3" a="1"/>
  <c r="C78" i="3" s="1"/>
  <c r="C70" i="3" a="1"/>
  <c r="C70" i="3" s="1"/>
  <c r="C65" i="3" a="1"/>
  <c r="C65" i="3" s="1"/>
  <c r="C55" i="3" a="1"/>
  <c r="C55" i="3" s="1"/>
  <c r="C49" i="3" a="1"/>
  <c r="C49" i="3" s="1"/>
  <c r="C43" i="3" a="1"/>
  <c r="C43" i="3" s="1"/>
  <c r="C62" i="3" a="1"/>
  <c r="C62" i="3" s="1"/>
  <c r="C12" i="3" a="1"/>
  <c r="C12" i="3" s="1"/>
  <c r="C188" i="3" a="1"/>
  <c r="C188" i="3" s="1"/>
  <c r="C141" i="3" a="1"/>
  <c r="C141" i="3" s="1"/>
  <c r="C122" i="3" a="1"/>
  <c r="C122" i="3" s="1"/>
  <c r="C77" i="3" a="1"/>
  <c r="C77" i="3" s="1"/>
  <c r="C67" i="3" a="1"/>
  <c r="C67" i="3" s="1"/>
  <c r="C52" i="3" a="1"/>
  <c r="C52" i="3" s="1"/>
  <c r="C15" i="3" a="1"/>
  <c r="C15" i="3" s="1"/>
  <c r="C9" i="3" a="1"/>
  <c r="C9" i="3" s="1"/>
  <c r="C353" i="3" a="1"/>
  <c r="C353" i="3" s="1"/>
  <c r="C117" i="3" a="1"/>
  <c r="C117" i="3" s="1"/>
  <c r="C72" i="3" a="1"/>
  <c r="C72" i="3" s="1"/>
  <c r="C57" i="3" a="1"/>
  <c r="C57" i="3" s="1"/>
  <c r="C45" i="3" a="1"/>
  <c r="C45" i="3" s="1"/>
  <c r="C5" i="3" a="1"/>
  <c r="C5" i="3" s="1"/>
  <c r="C3" i="3" a="1"/>
  <c r="C3" i="3" s="1"/>
  <c r="C217" i="3" a="1"/>
  <c r="C217" i="3" s="1"/>
  <c r="C207" i="3" a="1"/>
  <c r="C207" i="3" s="1"/>
  <c r="C199" i="3" a="1"/>
  <c r="C199" i="3" s="1"/>
  <c r="C191" i="3" a="1"/>
  <c r="C191" i="3" s="1"/>
  <c r="C183" i="3" a="1"/>
  <c r="C183" i="3" s="1"/>
  <c r="C154" i="3" a="1"/>
  <c r="C154" i="3" s="1"/>
  <c r="C145" i="3" a="1"/>
  <c r="C145" i="3" s="1"/>
  <c r="C206" i="3" a="1"/>
  <c r="C206" i="3" s="1"/>
  <c r="C349" i="3" a="1"/>
  <c r="C349" i="3" s="1"/>
  <c r="C252" i="3" a="1"/>
  <c r="C252" i="3" s="1"/>
  <c r="C244" i="3" a="1"/>
  <c r="C244" i="3" s="1"/>
  <c r="C237" i="3" a="1"/>
  <c r="C237" i="3" s="1"/>
  <c r="C355" i="3" a="1"/>
  <c r="C355" i="3" s="1"/>
  <c r="C343" i="3" a="1"/>
  <c r="C343" i="3" s="1"/>
  <c r="C324" i="3" a="1"/>
  <c r="C324" i="3" s="1"/>
  <c r="C317" i="3" a="1"/>
  <c r="C317" i="3" s="1"/>
  <c r="C249" i="3" a="1"/>
  <c r="C249" i="3" s="1"/>
  <c r="C271" i="3" a="1"/>
  <c r="C271" i="3" s="1"/>
  <c r="C270" i="3" a="1"/>
  <c r="C270" i="3" s="1"/>
  <c r="C269" i="3" a="1"/>
  <c r="C269" i="3" s="1"/>
  <c r="C268" i="3" a="1"/>
  <c r="C268" i="3" s="1"/>
  <c r="C267" i="3" a="1"/>
  <c r="C267" i="3" s="1"/>
  <c r="C266" i="3" a="1"/>
  <c r="C266" i="3" s="1"/>
  <c r="C265" i="3" a="1"/>
  <c r="C265" i="3" s="1"/>
  <c r="C264" i="3" a="1"/>
  <c r="C264" i="3" s="1"/>
  <c r="C263" i="3" a="1"/>
  <c r="C263" i="3" s="1"/>
  <c r="C262" i="3" a="1"/>
  <c r="C262" i="3" s="1"/>
  <c r="C257" i="3" a="1"/>
  <c r="C257" i="3" s="1"/>
  <c r="C256" i="3" a="1"/>
  <c r="C256" i="3" s="1"/>
  <c r="C251" i="3" a="1"/>
  <c r="C251" i="3" s="1"/>
  <c r="C246" i="3" a="1"/>
  <c r="C246" i="3" s="1"/>
  <c r="C241" i="3" a="1"/>
  <c r="C241" i="3" s="1"/>
  <c r="C236" i="3" a="1"/>
  <c r="C236" i="3" s="1"/>
  <c r="C210" i="3" a="1"/>
  <c r="C210" i="3" s="1"/>
  <c r="C175" i="3" a="1"/>
  <c r="C175" i="3" s="1"/>
  <c r="C171" i="3" a="1"/>
  <c r="C171" i="3" s="1"/>
  <c r="C170" i="3" a="1"/>
  <c r="C170" i="3" s="1"/>
  <c r="C168" i="3" a="1"/>
  <c r="C168" i="3" s="1"/>
  <c r="C167" i="3" a="1"/>
  <c r="C167" i="3" s="1"/>
  <c r="C166" i="3" a="1"/>
  <c r="C166" i="3" s="1"/>
  <c r="C165" i="3" a="1"/>
  <c r="C165" i="3" s="1"/>
  <c r="C163" i="3" a="1"/>
  <c r="C163" i="3" s="1"/>
  <c r="C150" i="3" a="1"/>
  <c r="C150" i="3" s="1"/>
  <c r="C142" i="3" a="1"/>
  <c r="C142" i="3" s="1"/>
  <c r="C132" i="3" a="1"/>
  <c r="C132" i="3" s="1"/>
  <c r="C121" i="3" a="1"/>
  <c r="C121" i="3" s="1"/>
  <c r="C115" i="3" a="1"/>
  <c r="C115" i="3" s="1"/>
  <c r="C107" i="3" a="1"/>
  <c r="C107" i="3" s="1"/>
  <c r="C103" i="3" a="1"/>
  <c r="C103" i="3" s="1"/>
  <c r="C284" i="3" a="1"/>
  <c r="C284" i="3" s="1"/>
  <c r="C276" i="3" a="1"/>
  <c r="C276" i="3" s="1"/>
  <c r="C64" i="3" a="1"/>
  <c r="C64" i="3" s="1"/>
  <c r="C232" i="3" a="1"/>
  <c r="C232" i="3" s="1"/>
  <c r="C223" i="3" a="1"/>
  <c r="C223" i="3" s="1"/>
  <c r="C213" i="3" a="1"/>
  <c r="C213" i="3" s="1"/>
  <c r="C203" i="3" a="1"/>
  <c r="C203" i="3" s="1"/>
  <c r="C193" i="3" a="1"/>
  <c r="C193" i="3" s="1"/>
  <c r="C184" i="3" a="1"/>
  <c r="C184" i="3" s="1"/>
  <c r="C148" i="3" a="1"/>
  <c r="C148" i="3" s="1"/>
  <c r="C139" i="3" a="1"/>
  <c r="C139" i="3" s="1"/>
  <c r="C17" i="3" a="1"/>
  <c r="C17" i="3" s="1"/>
  <c r="C4" i="3" a="1"/>
  <c r="C4" i="3" s="1"/>
  <c r="C360" i="3" a="1"/>
  <c r="C360" i="3" s="1"/>
  <c r="C303" i="3" a="1"/>
  <c r="C303" i="3" s="1"/>
  <c r="C291" i="3" a="1"/>
  <c r="C291" i="3" s="1"/>
  <c r="C110" i="3" a="1"/>
  <c r="C110" i="3" s="1"/>
  <c r="C285" i="3" a="1"/>
  <c r="C285" i="3" s="1"/>
  <c r="C218" i="3" a="1"/>
  <c r="C218" i="3" s="1"/>
  <c r="C297" i="3" a="1"/>
  <c r="C297" i="3" s="1"/>
  <c r="C288" i="3" a="1"/>
  <c r="C288" i="3" s="1"/>
  <c r="C273" i="3" a="1"/>
  <c r="C273" i="3" s="1"/>
  <c r="C222" i="3" a="1"/>
  <c r="C222" i="3" s="1"/>
  <c r="C212" i="3" a="1"/>
  <c r="C212" i="3" s="1"/>
  <c r="C10" i="3" a="1"/>
  <c r="C10" i="3" s="1"/>
  <c r="C299" i="3" a="1"/>
  <c r="C299" i="3" s="1"/>
  <c r="C227" i="3" a="1"/>
  <c r="C227" i="3" s="1"/>
  <c r="C198" i="3" a="1"/>
  <c r="C198" i="3" s="1"/>
  <c r="C151" i="3" a="1"/>
  <c r="C151" i="3" s="1"/>
  <c r="C129" i="3" a="1"/>
  <c r="C129" i="3" s="1"/>
  <c r="C325" i="3" a="1"/>
  <c r="C325" i="3" s="1"/>
  <c r="C82" i="3" a="1"/>
  <c r="C82" i="3" s="1"/>
  <c r="C98" i="3" a="1"/>
  <c r="C98" i="3" s="1"/>
  <c r="C85" i="3" a="1"/>
  <c r="C85" i="3" s="1"/>
  <c r="C2" i="3" a="1"/>
  <c r="C2" i="3" s="1"/>
  <c r="C356" i="3" a="1"/>
  <c r="C356" i="3" s="1"/>
  <c r="C304" i="3" a="1"/>
  <c r="C304" i="3" s="1"/>
  <c r="C298" i="3" a="1"/>
  <c r="C298" i="3" s="1"/>
  <c r="C292" i="3" a="1"/>
  <c r="C292" i="3" s="1"/>
  <c r="C286" i="3" a="1"/>
  <c r="C286" i="3" s="1"/>
  <c r="C278" i="3" a="1"/>
  <c r="C278" i="3" s="1"/>
  <c r="C225" i="3" a="1"/>
  <c r="C225" i="3" s="1"/>
  <c r="C138" i="3" a="1"/>
  <c r="C138" i="3" s="1"/>
  <c r="C128" i="3" a="1"/>
  <c r="C128" i="3" s="1"/>
  <c r="C114" i="3" a="1"/>
  <c r="C114" i="3" s="1"/>
  <c r="C47" i="3" a="1"/>
  <c r="C47" i="3" s="1"/>
  <c r="C358" i="3" a="1"/>
  <c r="C358" i="3" s="1"/>
  <c r="C137" i="3" a="1"/>
  <c r="C137" i="3" s="1"/>
  <c r="C346" i="3" a="1"/>
  <c r="C346" i="3" s="1"/>
  <c r="C335" i="3" a="1"/>
  <c r="C335" i="3" s="1"/>
  <c r="C329" i="3" a="1"/>
  <c r="C329" i="3" s="1"/>
  <c r="C326" i="3" a="1"/>
  <c r="C326" i="3" s="1"/>
  <c r="C321" i="3" a="1"/>
  <c r="C321" i="3" s="1"/>
  <c r="C255" i="3" a="1"/>
  <c r="C255" i="3" s="1"/>
  <c r="C248" i="3" a="1"/>
  <c r="C248" i="3" s="1"/>
  <c r="C242" i="3" a="1"/>
  <c r="C242" i="3" s="1"/>
  <c r="C233" i="3" a="1"/>
  <c r="C233" i="3" s="1"/>
  <c r="C333" i="3" a="1"/>
  <c r="C333" i="3" s="1"/>
  <c r="C319" i="3" a="1"/>
  <c r="C319" i="3" s="1"/>
  <c r="C247" i="3" a="1"/>
  <c r="C247" i="3" s="1"/>
  <c r="C238" i="3" a="1"/>
  <c r="C238" i="3" s="1"/>
  <c r="C350" i="3" a="1"/>
  <c r="C350" i="3" s="1"/>
  <c r="C169" i="3" a="1"/>
  <c r="C169" i="3" s="1"/>
  <c r="C277" i="3" a="1"/>
  <c r="C277" i="3" s="1"/>
  <c r="C228" i="3" a="1"/>
  <c r="C228" i="3" s="1"/>
  <c r="C216" i="3" a="1"/>
  <c r="C216" i="3" s="1"/>
  <c r="C205" i="3" a="1"/>
  <c r="C205" i="3" s="1"/>
  <c r="C194" i="3" a="1"/>
  <c r="C194" i="3" s="1"/>
  <c r="C185" i="3" a="1"/>
  <c r="C185" i="3" s="1"/>
  <c r="C152" i="3" a="1"/>
  <c r="C152" i="3" s="1"/>
  <c r="C143" i="3" a="1"/>
  <c r="C143" i="3" s="1"/>
  <c r="C134" i="3" a="1"/>
  <c r="C134" i="3" s="1"/>
  <c r="C126" i="3" a="1"/>
  <c r="C126" i="3" s="1"/>
  <c r="C119" i="3" a="1"/>
  <c r="C119" i="3" s="1"/>
  <c r="C88" i="3" a="1"/>
  <c r="C88" i="3" s="1"/>
  <c r="C92" i="3" a="1"/>
  <c r="C92" i="3" s="1"/>
  <c r="C96" i="3" a="1"/>
  <c r="C96" i="3" s="1"/>
  <c r="C100" i="3" a="1"/>
  <c r="C100" i="3" s="1"/>
  <c r="C289" i="3" a="1"/>
  <c r="C289" i="3" s="1"/>
  <c r="C296" i="3" a="1"/>
  <c r="C296" i="3" s="1"/>
  <c r="C97" i="3" a="1"/>
  <c r="C97" i="3" s="1"/>
  <c r="C95" i="3" a="1"/>
  <c r="C95" i="3" s="1"/>
  <c r="C280" i="3" a="1"/>
  <c r="C280" i="3" s="1"/>
  <c r="C16" i="3" a="1"/>
  <c r="C16" i="3" s="1"/>
  <c r="C14" i="3" a="1"/>
  <c r="C14" i="3" s="1"/>
  <c r="C11" i="3" a="1"/>
  <c r="C11" i="3" s="1"/>
  <c r="C8" i="3" a="1"/>
  <c r="C8" i="3" s="1"/>
  <c r="C7" i="3" a="1"/>
  <c r="C7" i="3" s="1"/>
  <c r="C6" i="3" a="1"/>
  <c r="C6" i="3" s="1"/>
  <c r="C133" i="3" a="1"/>
  <c r="C133" i="3" s="1"/>
  <c r="C125" i="3" a="1"/>
  <c r="C125" i="3" s="1"/>
  <c r="C116" i="3" a="1"/>
  <c r="C116" i="3" s="1"/>
  <c r="C63" i="3" a="1"/>
  <c r="C63" i="3" s="1"/>
  <c r="C306" i="3" a="1"/>
  <c r="C306" i="3" s="1"/>
  <c r="C274" i="3" a="1"/>
  <c r="C274" i="3" s="1"/>
  <c r="C344" i="3" a="1"/>
  <c r="C344" i="3" s="1"/>
  <c r="C337" i="3" a="1"/>
  <c r="C337" i="3" s="1"/>
  <c r="C331" i="3" a="1"/>
  <c r="C331" i="3" s="1"/>
  <c r="C327" i="3" a="1"/>
  <c r="C327" i="3" s="1"/>
  <c r="C322" i="3" a="1"/>
  <c r="C322" i="3" s="1"/>
  <c r="C318" i="3" a="1"/>
  <c r="C318" i="3" s="1"/>
  <c r="C347" i="3" a="1"/>
  <c r="C347" i="3" s="1"/>
  <c r="C341" i="3" a="1"/>
  <c r="C341" i="3" s="1"/>
  <c r="C334" i="3" a="1"/>
  <c r="C334" i="3" s="1"/>
  <c r="C328" i="3" a="1"/>
  <c r="C328" i="3" s="1"/>
  <c r="C320" i="3" a="1"/>
  <c r="C320" i="3" s="1"/>
  <c r="C250" i="3" a="1"/>
  <c r="C250" i="3" s="1"/>
  <c r="C243" i="3" a="1"/>
  <c r="C243" i="3" s="1"/>
  <c r="C235" i="3" a="1"/>
  <c r="C235" i="3" s="1"/>
  <c r="C345" i="3" a="1"/>
  <c r="C345" i="3" s="1"/>
  <c r="C339" i="3" a="1"/>
  <c r="C339" i="3" s="1"/>
  <c r="C293" i="3" a="1"/>
  <c r="C293" i="3" s="1"/>
  <c r="C283" i="3" a="1"/>
  <c r="C283" i="3" s="1"/>
  <c r="C272" i="3" a="1"/>
  <c r="C272" i="3" s="1"/>
  <c r="C174" i="3" a="1"/>
  <c r="C174" i="3" s="1"/>
  <c r="C173" i="3" a="1"/>
  <c r="C173" i="3" s="1"/>
  <c r="C172" i="3" a="1"/>
  <c r="C172" i="3" s="1"/>
  <c r="C211" i="3" a="1"/>
  <c r="C211" i="3" s="1"/>
  <c r="C200" i="3" a="1"/>
  <c r="C200" i="3" s="1"/>
  <c r="C189" i="3" a="1"/>
  <c r="C189" i="3" s="1"/>
  <c r="C180" i="3" a="1"/>
  <c r="C180" i="3" s="1"/>
  <c r="C61" i="3" a="1"/>
  <c r="C61" i="3" s="1"/>
  <c r="C124" i="3" a="1"/>
  <c r="C124" i="3" s="1"/>
  <c r="C112" i="3" a="1"/>
  <c r="C112" i="3" s="1"/>
  <c r="C106" i="3" a="1"/>
  <c r="C106" i="3" s="1"/>
  <c r="C75" i="3" a="1"/>
  <c r="C75" i="3" s="1"/>
  <c r="C71" i="3" a="1"/>
  <c r="C71" i="3" s="1"/>
  <c r="C309" i="3" a="1"/>
  <c r="C309" i="3" s="1"/>
  <c r="C108" i="3" a="1"/>
  <c r="C108" i="3" s="1"/>
  <c r="C76" i="3" a="1"/>
  <c r="C76" i="3" s="1"/>
  <c r="C54" i="3" a="1"/>
  <c r="C54" i="3" s="1"/>
  <c r="C48" i="3" a="1"/>
  <c r="C48" i="3" s="1"/>
  <c r="C42" i="3" a="1"/>
  <c r="C42" i="3" s="1"/>
  <c r="C13" i="3" a="1"/>
  <c r="C13" i="3" s="1"/>
  <c r="C178" i="3" a="1"/>
  <c r="C178" i="3" s="1"/>
  <c r="C149" i="3" a="1"/>
  <c r="C149" i="3" s="1"/>
  <c r="C73" i="3" a="1"/>
  <c r="C73" i="3" s="1"/>
  <c r="C66" i="3" a="1"/>
  <c r="C66" i="3" s="1"/>
  <c r="C59" i="3" a="1"/>
  <c r="C59" i="3" s="1"/>
  <c r="C53" i="3" a="1"/>
  <c r="C53" i="3" s="1"/>
  <c r="C44" i="3" a="1"/>
  <c r="C44" i="3" s="1"/>
  <c r="C39" i="3" a="1"/>
  <c r="C39" i="3" s="1"/>
  <c r="C307" i="3" a="1"/>
  <c r="C307" i="3" s="1"/>
  <c r="C229" i="3" a="1"/>
  <c r="C229" i="3" s="1"/>
  <c r="C99" i="3" a="1"/>
  <c r="C99" i="3" s="1"/>
  <c r="C287" i="3" a="1"/>
  <c r="C287" i="3" s="1"/>
  <c r="C215" i="3" a="1"/>
  <c r="C215" i="3" s="1"/>
  <c r="C196" i="3" a="1"/>
  <c r="C196" i="3" s="1"/>
  <c r="C155" i="3" a="1"/>
  <c r="C155" i="3" s="1"/>
  <c r="C338" i="3" a="1"/>
  <c r="C338" i="3" s="1"/>
  <c r="C332" i="3" a="1"/>
  <c r="C332" i="3" s="1"/>
  <c r="C323" i="3" a="1"/>
  <c r="C323" i="3" s="1"/>
  <c r="C254" i="3" a="1"/>
  <c r="C254" i="3" s="1"/>
  <c r="C245" i="3" a="1"/>
  <c r="C245" i="3" s="1"/>
  <c r="C234" i="3" a="1"/>
  <c r="C234" i="3" s="1"/>
  <c r="C316" i="3" a="1"/>
  <c r="C316" i="3" s="1"/>
  <c r="C261" i="3" a="1"/>
  <c r="C261" i="3" s="1"/>
  <c r="C260" i="3" a="1"/>
  <c r="C260" i="3" s="1"/>
  <c r="C259" i="3" a="1"/>
  <c r="C259" i="3" s="1"/>
  <c r="C258" i="3" a="1"/>
  <c r="C258" i="3" s="1"/>
  <c r="C164" i="3" a="1"/>
  <c r="C164" i="3" s="1"/>
  <c r="C102" i="3" a="1"/>
  <c r="C102" i="3" s="1"/>
  <c r="C101" i="3" a="1"/>
  <c r="C101" i="3" s="1"/>
  <c r="C80" i="3" a="1"/>
  <c r="C80" i="3" s="1"/>
  <c r="C79" i="3" a="1"/>
  <c r="C79" i="3" s="1"/>
  <c r="C352" i="3" a="1"/>
  <c r="C352" i="3" s="1"/>
  <c r="C294" i="3" a="1"/>
  <c r="C294" i="3" s="1"/>
  <c r="C56" i="3" a="1"/>
  <c r="C56" i="3" s="1"/>
  <c r="C50" i="3" a="1"/>
  <c r="C50" i="3" s="1"/>
  <c r="C305" i="3" a="1"/>
  <c r="C305" i="3" s="1"/>
  <c r="C281" i="3" a="1"/>
  <c r="C281" i="3" s="1"/>
  <c r="C275" i="3" a="1"/>
  <c r="C275" i="3" s="1"/>
  <c r="C208" i="3" a="1"/>
  <c r="C208" i="3" s="1"/>
  <c r="C181" i="3" a="1"/>
  <c r="C181" i="3" s="1"/>
  <c r="C136" i="3" a="1"/>
  <c r="C136" i="3" s="1"/>
  <c r="C69" i="3" a="1"/>
  <c r="C69" i="3" s="1"/>
  <c r="C60" i="3" a="1"/>
  <c r="C60" i="3" s="1"/>
  <c r="C202" i="3" a="1"/>
  <c r="C202" i="3" s="1"/>
  <c r="C192" i="3" a="1"/>
  <c r="C192" i="3" s="1"/>
  <c r="C336" i="3" a="1"/>
  <c r="C336" i="3" s="1"/>
  <c r="C140" i="3" a="1"/>
  <c r="C140" i="3" s="1"/>
  <c r="C131" i="3" a="1"/>
  <c r="C131" i="3" s="1"/>
  <c r="C123" i="3" a="1"/>
  <c r="C123" i="3" s="1"/>
  <c r="C113" i="3" a="1"/>
  <c r="C113" i="3" s="1"/>
  <c r="C104" i="3" a="1"/>
  <c r="C104" i="3" s="1"/>
  <c r="C93" i="3" a="1"/>
  <c r="C93" i="3" s="1"/>
  <c r="C91" i="3" a="1"/>
  <c r="C91" i="3" s="1"/>
  <c r="C58" i="3" a="1"/>
  <c r="C58" i="3" s="1"/>
  <c r="C84" i="3" a="1"/>
  <c r="C84" i="3" s="1"/>
  <c r="C89" i="3" a="1"/>
  <c r="C89" i="3" s="1"/>
  <c r="C224" i="3" a="1"/>
  <c r="C224" i="3" s="1"/>
  <c r="C214" i="3" a="1"/>
  <c r="C214" i="3" s="1"/>
  <c r="C204" i="3" a="1"/>
  <c r="C204" i="3" s="1"/>
  <c r="C195" i="3" a="1"/>
  <c r="C195" i="3" s="1"/>
  <c r="C179" i="3" a="1"/>
  <c r="C179" i="3" s="1"/>
  <c r="C147" i="3" a="1"/>
  <c r="C147" i="3" s="1"/>
  <c r="C330" i="3" a="1"/>
  <c r="C330" i="3" s="1"/>
  <c r="C135" i="3" a="1"/>
  <c r="C135" i="3" s="1"/>
  <c r="C130" i="3" a="1"/>
  <c r="C130" i="3" s="1"/>
  <c r="C120" i="3" a="1"/>
  <c r="C120" i="3" s="1"/>
  <c r="D1" i="3" l="1" a="1"/>
  <c r="D1" i="3" s="1"/>
  <c r="D574" i="3" a="1"/>
  <c r="D574" i="3" s="1"/>
  <c r="D594" i="3" a="1"/>
  <c r="D594" i="3" s="1"/>
  <c r="D593" i="3" a="1"/>
  <c r="D593" i="3" s="1"/>
  <c r="D592" i="3" a="1"/>
  <c r="D592" i="3" s="1"/>
  <c r="D591" i="3" a="1"/>
  <c r="D591" i="3" s="1"/>
  <c r="D590" i="3" a="1"/>
  <c r="D590" i="3" s="1"/>
  <c r="D589" i="3" a="1"/>
  <c r="D589" i="3" s="1"/>
  <c r="D588" i="3" a="1"/>
  <c r="D588" i="3" s="1"/>
  <c r="D615" i="3" a="1"/>
  <c r="D615" i="3" s="1"/>
  <c r="D196" i="3" a="1"/>
  <c r="D196" i="3" s="1"/>
  <c r="D193" i="3" a="1"/>
  <c r="D193" i="3" s="1"/>
  <c r="D190" i="3" a="1"/>
  <c r="D190" i="3" s="1"/>
  <c r="D188" i="3" a="1"/>
  <c r="D188" i="3" s="1"/>
  <c r="D184" i="3" a="1"/>
  <c r="D184" i="3" s="1"/>
  <c r="D181" i="3" a="1"/>
  <c r="D181" i="3" s="1"/>
  <c r="D179" i="3" a="1"/>
  <c r="D179" i="3" s="1"/>
  <c r="D176" i="3" a="1"/>
  <c r="D176" i="3" s="1"/>
  <c r="D174" i="3" a="1"/>
  <c r="D174" i="3" s="1"/>
  <c r="D171" i="3" a="1"/>
  <c r="D171" i="3" s="1"/>
  <c r="D168" i="3" a="1"/>
  <c r="D168" i="3" s="1"/>
  <c r="D166" i="3" a="1"/>
  <c r="D166" i="3" s="1"/>
  <c r="D163" i="3" a="1"/>
  <c r="D163" i="3" s="1"/>
  <c r="D160" i="3" a="1"/>
  <c r="D160" i="3" s="1"/>
  <c r="D157" i="3" a="1"/>
  <c r="D157" i="3" s="1"/>
  <c r="D154" i="3" a="1"/>
  <c r="D154" i="3" s="1"/>
  <c r="D152" i="3" a="1"/>
  <c r="D152" i="3" s="1"/>
  <c r="D149" i="3" a="1"/>
  <c r="D149" i="3" s="1"/>
  <c r="D143" i="3" a="1"/>
  <c r="D143" i="3" s="1"/>
  <c r="D623" i="3" a="1"/>
  <c r="D623" i="3" s="1"/>
  <c r="D599" i="3" a="1"/>
  <c r="D599" i="3" s="1"/>
  <c r="D597" i="3" a="1"/>
  <c r="D597" i="3" s="1"/>
  <c r="D595" i="3" a="1"/>
  <c r="D595" i="3" s="1"/>
  <c r="D628" i="3" a="1"/>
  <c r="D628" i="3" s="1"/>
  <c r="D624" i="3" a="1"/>
  <c r="D624" i="3" s="1"/>
  <c r="D538" i="3" a="1"/>
  <c r="D538" i="3" s="1"/>
  <c r="D536" i="3" a="1"/>
  <c r="D536" i="3" s="1"/>
  <c r="D535" i="3" a="1"/>
  <c r="D535" i="3" s="1"/>
  <c r="D534" i="3" a="1"/>
  <c r="D534" i="3" s="1"/>
  <c r="D533" i="3" a="1"/>
  <c r="D533" i="3" s="1"/>
  <c r="D532" i="3" a="1"/>
  <c r="D532" i="3" s="1"/>
  <c r="D530" i="3" a="1"/>
  <c r="D530" i="3" s="1"/>
  <c r="D528" i="3" a="1"/>
  <c r="D528" i="3" s="1"/>
  <c r="D526" i="3" a="1"/>
  <c r="D526" i="3" s="1"/>
  <c r="D524" i="3" a="1"/>
  <c r="D524" i="3" s="1"/>
  <c r="D522" i="3" a="1"/>
  <c r="D522" i="3" s="1"/>
  <c r="D521" i="3" a="1"/>
  <c r="D521" i="3" s="1"/>
  <c r="D519" i="3" a="1"/>
  <c r="D519" i="3" s="1"/>
  <c r="D517" i="3" a="1"/>
  <c r="D517" i="3" s="1"/>
  <c r="D515" i="3" a="1"/>
  <c r="D515" i="3" s="1"/>
  <c r="D512" i="3" a="1"/>
  <c r="D512" i="3" s="1"/>
  <c r="D510" i="3" a="1"/>
  <c r="D510" i="3" s="1"/>
  <c r="D508" i="3" a="1"/>
  <c r="D508" i="3" s="1"/>
  <c r="D506" i="3" a="1"/>
  <c r="D506" i="3" s="1"/>
  <c r="D504" i="3" a="1"/>
  <c r="D504" i="3" s="1"/>
  <c r="D502" i="3" a="1"/>
  <c r="D502" i="3" s="1"/>
  <c r="D448" i="3" a="1"/>
  <c r="D448" i="3" s="1"/>
  <c r="D439" i="3" a="1"/>
  <c r="D439" i="3" s="1"/>
  <c r="D429" i="3" a="1"/>
  <c r="D429" i="3" s="1"/>
  <c r="D422" i="3" a="1"/>
  <c r="D422" i="3" s="1"/>
  <c r="D419" i="3" a="1"/>
  <c r="D419" i="3" s="1"/>
  <c r="D415" i="3" a="1"/>
  <c r="D415" i="3" s="1"/>
  <c r="D411" i="3" a="1"/>
  <c r="D411" i="3" s="1"/>
  <c r="D531" i="3" a="1"/>
  <c r="D531" i="3" s="1"/>
  <c r="D527" i="3" a="1"/>
  <c r="D527" i="3" s="1"/>
  <c r="D523" i="3" a="1"/>
  <c r="D523" i="3" s="1"/>
  <c r="D518" i="3" a="1"/>
  <c r="D518" i="3" s="1"/>
  <c r="D514" i="3" a="1"/>
  <c r="D514" i="3" s="1"/>
  <c r="D511" i="3" a="1"/>
  <c r="D511" i="3" s="1"/>
  <c r="D377" i="3" a="1"/>
  <c r="D377" i="3" s="1"/>
  <c r="D373" i="3" a="1"/>
  <c r="D373" i="3" s="1"/>
  <c r="D500" i="3" a="1"/>
  <c r="D500" i="3" s="1"/>
  <c r="D499" i="3" a="1"/>
  <c r="D499" i="3" s="1"/>
  <c r="D497" i="3" a="1"/>
  <c r="D497" i="3" s="1"/>
  <c r="D495" i="3" a="1"/>
  <c r="D495" i="3" s="1"/>
  <c r="D493" i="3" a="1"/>
  <c r="D493" i="3" s="1"/>
  <c r="D491" i="3" a="1"/>
  <c r="D491" i="3" s="1"/>
  <c r="D489" i="3" a="1"/>
  <c r="D489" i="3" s="1"/>
  <c r="D487" i="3" a="1"/>
  <c r="D487" i="3" s="1"/>
  <c r="D485" i="3" a="1"/>
  <c r="D485" i="3" s="1"/>
  <c r="D483" i="3" a="1"/>
  <c r="D483" i="3" s="1"/>
  <c r="D481" i="3" a="1"/>
  <c r="D481" i="3" s="1"/>
  <c r="D479" i="3" a="1"/>
  <c r="D479" i="3" s="1"/>
  <c r="D477" i="3" a="1"/>
  <c r="D477" i="3" s="1"/>
  <c r="D475" i="3" a="1"/>
  <c r="D475" i="3" s="1"/>
  <c r="D473" i="3" a="1"/>
  <c r="D473" i="3" s="1"/>
  <c r="D471" i="3" a="1"/>
  <c r="D471" i="3" s="1"/>
  <c r="D469" i="3" a="1"/>
  <c r="D469" i="3" s="1"/>
  <c r="D467" i="3" a="1"/>
  <c r="D467" i="3" s="1"/>
  <c r="D465" i="3" a="1"/>
  <c r="D465" i="3" s="1"/>
  <c r="D464" i="3" a="1"/>
  <c r="D464" i="3" s="1"/>
  <c r="D462" i="3" a="1"/>
  <c r="D462" i="3" s="1"/>
  <c r="D460" i="3" a="1"/>
  <c r="D460" i="3" s="1"/>
  <c r="D458" i="3" a="1"/>
  <c r="D458" i="3" s="1"/>
  <c r="D456" i="3" a="1"/>
  <c r="D456" i="3" s="1"/>
  <c r="D454" i="3" a="1"/>
  <c r="D454" i="3" s="1"/>
  <c r="D452" i="3" a="1"/>
  <c r="D452" i="3" s="1"/>
  <c r="D625" i="3" a="1"/>
  <c r="D625" i="3" s="1"/>
  <c r="D560" i="3" a="1"/>
  <c r="D560" i="3" s="1"/>
  <c r="D556" i="3" a="1"/>
  <c r="D556" i="3" s="1"/>
  <c r="D551" i="3" a="1"/>
  <c r="D551" i="3" s="1"/>
  <c r="D547" i="3" a="1"/>
  <c r="D547" i="3" s="1"/>
  <c r="D543" i="3" a="1"/>
  <c r="D543" i="3" s="1"/>
  <c r="D539" i="3" a="1"/>
  <c r="D539" i="3" s="1"/>
  <c r="D443" i="3" a="1"/>
  <c r="D443" i="3" s="1"/>
  <c r="D425" i="3" a="1"/>
  <c r="D425" i="3" s="1"/>
  <c r="D420" i="3" a="1"/>
  <c r="D420" i="3" s="1"/>
  <c r="D417" i="3" a="1"/>
  <c r="D417" i="3" s="1"/>
  <c r="D413" i="3" a="1"/>
  <c r="D413" i="3" s="1"/>
  <c r="D537" i="3" a="1"/>
  <c r="D537" i="3" s="1"/>
  <c r="D525" i="3" a="1"/>
  <c r="D525" i="3" s="1"/>
  <c r="D516" i="3" a="1"/>
  <c r="D516" i="3" s="1"/>
  <c r="D513" i="3" a="1"/>
  <c r="D513" i="3" s="1"/>
  <c r="D375" i="3" a="1"/>
  <c r="D375" i="3" s="1"/>
  <c r="D507" i="3" a="1"/>
  <c r="D507" i="3" s="1"/>
  <c r="D503" i="3" a="1"/>
  <c r="D503" i="3" s="1"/>
  <c r="D498" i="3" a="1"/>
  <c r="D498" i="3" s="1"/>
  <c r="D494" i="3" a="1"/>
  <c r="D494" i="3" s="1"/>
  <c r="D480" i="3" a="1"/>
  <c r="D480" i="3" s="1"/>
  <c r="D476" i="3" a="1"/>
  <c r="D476" i="3" s="1"/>
  <c r="D472" i="3" a="1"/>
  <c r="D472" i="3" s="1"/>
  <c r="D468" i="3" a="1"/>
  <c r="D468" i="3" s="1"/>
  <c r="D463" i="3" a="1"/>
  <c r="D463" i="3" s="1"/>
  <c r="D459" i="3" a="1"/>
  <c r="D459" i="3" s="1"/>
  <c r="D455" i="3" a="1"/>
  <c r="D455" i="3" s="1"/>
  <c r="D558" i="3" a="1"/>
  <c r="D558" i="3" s="1"/>
  <c r="D545" i="3" a="1"/>
  <c r="D545" i="3" s="1"/>
  <c r="D441" i="3" a="1"/>
  <c r="D441" i="3" s="1"/>
  <c r="D423" i="3" a="1"/>
  <c r="D423" i="3" s="1"/>
  <c r="D414" i="3" a="1"/>
  <c r="D414" i="3" s="1"/>
  <c r="D408" i="3" a="1"/>
  <c r="D408" i="3" s="1"/>
  <c r="D404" i="3" a="1"/>
  <c r="D404" i="3" s="1"/>
  <c r="D400" i="3" a="1"/>
  <c r="D400" i="3" s="1"/>
  <c r="D396" i="3" a="1"/>
  <c r="D396" i="3" s="1"/>
  <c r="D622" i="3" a="1"/>
  <c r="D622" i="3" s="1"/>
  <c r="D621" i="3" a="1"/>
  <c r="D621" i="3" s="1"/>
  <c r="D620" i="3" a="1"/>
  <c r="D620" i="3" s="1"/>
  <c r="D619" i="3" a="1"/>
  <c r="D619" i="3" s="1"/>
  <c r="D618" i="3" a="1"/>
  <c r="D618" i="3" s="1"/>
  <c r="D617" i="3" a="1"/>
  <c r="D617" i="3" s="1"/>
  <c r="D616" i="3" a="1"/>
  <c r="D616" i="3" s="1"/>
  <c r="D587" i="3" a="1"/>
  <c r="D587" i="3" s="1"/>
  <c r="D586" i="3" a="1"/>
  <c r="D586" i="3" s="1"/>
  <c r="D585" i="3" a="1"/>
  <c r="D585" i="3" s="1"/>
  <c r="D584" i="3" a="1"/>
  <c r="D584" i="3" s="1"/>
  <c r="D434" i="3" a="1"/>
  <c r="D434" i="3" s="1"/>
  <c r="D529" i="3" a="1"/>
  <c r="D529" i="3" s="1"/>
  <c r="D520" i="3" a="1"/>
  <c r="D520" i="3" s="1"/>
  <c r="D379" i="3" a="1"/>
  <c r="D379" i="3" s="1"/>
  <c r="D509" i="3" a="1"/>
  <c r="D509" i="3" s="1"/>
  <c r="D505" i="3" a="1"/>
  <c r="D505" i="3" s="1"/>
  <c r="D501" i="3" a="1"/>
  <c r="D501" i="3" s="1"/>
  <c r="D496" i="3" a="1"/>
  <c r="D496" i="3" s="1"/>
  <c r="D492" i="3" a="1"/>
  <c r="D492" i="3" s="1"/>
  <c r="D490" i="3" a="1"/>
  <c r="D490" i="3" s="1"/>
  <c r="D488" i="3" a="1"/>
  <c r="D488" i="3" s="1"/>
  <c r="D486" i="3" a="1"/>
  <c r="D486" i="3" s="1"/>
  <c r="D484" i="3" a="1"/>
  <c r="D484" i="3" s="1"/>
  <c r="D482" i="3" a="1"/>
  <c r="D482" i="3" s="1"/>
  <c r="D478" i="3" a="1"/>
  <c r="D478" i="3" s="1"/>
  <c r="D474" i="3" a="1"/>
  <c r="D474" i="3" s="1"/>
  <c r="D470" i="3" a="1"/>
  <c r="D470" i="3" s="1"/>
  <c r="D466" i="3" a="1"/>
  <c r="D466" i="3" s="1"/>
  <c r="D461" i="3" a="1"/>
  <c r="D461" i="3" s="1"/>
  <c r="D457" i="3" a="1"/>
  <c r="D457" i="3" s="1"/>
  <c r="D453" i="3" a="1"/>
  <c r="D453" i="3" s="1"/>
  <c r="D549" i="3" a="1"/>
  <c r="D549" i="3" s="1"/>
  <c r="D450" i="3" a="1"/>
  <c r="D450" i="3" s="1"/>
  <c r="D432" i="3" a="1"/>
  <c r="D432" i="3" s="1"/>
  <c r="D418" i="3" a="1"/>
  <c r="D418" i="3" s="1"/>
  <c r="D410" i="3" a="1"/>
  <c r="D410" i="3" s="1"/>
  <c r="D406" i="3" a="1"/>
  <c r="D406" i="3" s="1"/>
  <c r="D402" i="3" a="1"/>
  <c r="D402" i="3" s="1"/>
  <c r="D398" i="3" a="1"/>
  <c r="D398" i="3" s="1"/>
  <c r="D394" i="3" a="1"/>
  <c r="D394" i="3" s="1"/>
  <c r="D583" i="3" a="1"/>
  <c r="D583" i="3" s="1"/>
  <c r="D582" i="3" a="1"/>
  <c r="D582" i="3" s="1"/>
  <c r="D581" i="3" a="1"/>
  <c r="D581" i="3" s="1"/>
  <c r="D580" i="3" a="1"/>
  <c r="D580" i="3" s="1"/>
  <c r="D579" i="3" a="1"/>
  <c r="D579" i="3" s="1"/>
  <c r="D578" i="3" a="1"/>
  <c r="D578" i="3" s="1"/>
  <c r="D577" i="3" a="1"/>
  <c r="D577" i="3" s="1"/>
  <c r="D576" i="3" a="1"/>
  <c r="D576" i="3" s="1"/>
  <c r="D575" i="3" a="1"/>
  <c r="D575" i="3" s="1"/>
  <c r="D573" i="3" a="1"/>
  <c r="D573" i="3" s="1"/>
  <c r="D572" i="3" a="1"/>
  <c r="D572" i="3" s="1"/>
  <c r="D571" i="3" a="1"/>
  <c r="D571" i="3" s="1"/>
  <c r="D570" i="3" a="1"/>
  <c r="D570" i="3" s="1"/>
  <c r="D569" i="3" a="1"/>
  <c r="D569" i="3" s="1"/>
  <c r="D397" i="3" a="1"/>
  <c r="D397" i="3" s="1"/>
  <c r="D395" i="3" a="1"/>
  <c r="D395" i="3" s="1"/>
  <c r="D392" i="3" a="1"/>
  <c r="D392" i="3" s="1"/>
  <c r="D390" i="3" a="1"/>
  <c r="D390" i="3" s="1"/>
  <c r="D388" i="3" a="1"/>
  <c r="D388" i="3" s="1"/>
  <c r="D386" i="3" a="1"/>
  <c r="D386" i="3" s="1"/>
  <c r="D384" i="3" a="1"/>
  <c r="D384" i="3" s="1"/>
  <c r="D382" i="3" a="1"/>
  <c r="D382" i="3" s="1"/>
  <c r="D380" i="3" a="1"/>
  <c r="D380" i="3" s="1"/>
  <c r="D376" i="3" a="1"/>
  <c r="D376" i="3" s="1"/>
  <c r="D372" i="3" a="1"/>
  <c r="D372" i="3" s="1"/>
  <c r="D371" i="3" a="1"/>
  <c r="D371" i="3" s="1"/>
  <c r="D370" i="3" a="1"/>
  <c r="D370" i="3" s="1"/>
  <c r="D369" i="3" a="1"/>
  <c r="D369" i="3" s="1"/>
  <c r="D368" i="3" a="1"/>
  <c r="D368" i="3" s="1"/>
  <c r="D367" i="3" a="1"/>
  <c r="D367" i="3" s="1"/>
  <c r="D366" i="3" a="1"/>
  <c r="D366" i="3" s="1"/>
  <c r="D365" i="3" a="1"/>
  <c r="D365" i="3" s="1"/>
  <c r="D364" i="3" a="1"/>
  <c r="D364" i="3" s="1"/>
  <c r="D363" i="3" a="1"/>
  <c r="D363" i="3" s="1"/>
  <c r="D362" i="3" a="1"/>
  <c r="D362" i="3" s="1"/>
  <c r="D361" i="3" a="1"/>
  <c r="D361" i="3" s="1"/>
  <c r="D360" i="3" a="1"/>
  <c r="D360" i="3" s="1"/>
  <c r="D359" i="3" a="1"/>
  <c r="D359" i="3" s="1"/>
  <c r="D358" i="3" a="1"/>
  <c r="D358" i="3" s="1"/>
  <c r="D357" i="3" a="1"/>
  <c r="D357" i="3" s="1"/>
  <c r="D356" i="3" a="1"/>
  <c r="D356" i="3" s="1"/>
  <c r="D355" i="3" a="1"/>
  <c r="D355" i="3" s="1"/>
  <c r="D354" i="3" a="1"/>
  <c r="D354" i="3" s="1"/>
  <c r="D353" i="3" a="1"/>
  <c r="D353" i="3" s="1"/>
  <c r="D352" i="3" a="1"/>
  <c r="D352" i="3" s="1"/>
  <c r="D351" i="3" a="1"/>
  <c r="D351" i="3" s="1"/>
  <c r="D350" i="3" a="1"/>
  <c r="D350" i="3" s="1"/>
  <c r="D349" i="3" a="1"/>
  <c r="D349" i="3" s="1"/>
  <c r="D348" i="3" a="1"/>
  <c r="D348" i="3" s="1"/>
  <c r="D437" i="3" a="1"/>
  <c r="D437" i="3" s="1"/>
  <c r="D433" i="3" a="1"/>
  <c r="D433" i="3" s="1"/>
  <c r="D430" i="3" a="1"/>
  <c r="D430" i="3" s="1"/>
  <c r="D426" i="3" a="1"/>
  <c r="D426" i="3" s="1"/>
  <c r="D424" i="3" a="1"/>
  <c r="D424" i="3" s="1"/>
  <c r="D563" i="3" a="1"/>
  <c r="D563" i="3" s="1"/>
  <c r="D559" i="3" a="1"/>
  <c r="D559" i="3" s="1"/>
  <c r="D337" i="3" a="1"/>
  <c r="D337" i="3" s="1"/>
  <c r="D335" i="3" a="1"/>
  <c r="D335" i="3" s="1"/>
  <c r="D333" i="3" a="1"/>
  <c r="D333" i="3" s="1"/>
  <c r="D331" i="3" a="1"/>
  <c r="D331" i="3" s="1"/>
  <c r="D329" i="3" a="1"/>
  <c r="D329" i="3" s="1"/>
  <c r="D327" i="3" a="1"/>
  <c r="D327" i="3" s="1"/>
  <c r="D325" i="3" a="1"/>
  <c r="D325" i="3" s="1"/>
  <c r="D323" i="3" a="1"/>
  <c r="D323" i="3" s="1"/>
  <c r="D321" i="3" a="1"/>
  <c r="D321" i="3" s="1"/>
  <c r="D319" i="3" a="1"/>
  <c r="D319" i="3" s="1"/>
  <c r="D317" i="3" a="1"/>
  <c r="D317" i="3" s="1"/>
  <c r="D257" i="3" a="1"/>
  <c r="D257" i="3" s="1"/>
  <c r="D254" i="3" a="1"/>
  <c r="D254" i="3" s="1"/>
  <c r="D252" i="3" a="1"/>
  <c r="D252" i="3" s="1"/>
  <c r="D347" i="3" a="1"/>
  <c r="D347" i="3" s="1"/>
  <c r="D346" i="3" a="1"/>
  <c r="D346" i="3" s="1"/>
  <c r="D345" i="3" a="1"/>
  <c r="D345" i="3" s="1"/>
  <c r="D344" i="3" a="1"/>
  <c r="D344" i="3" s="1"/>
  <c r="D343" i="3" a="1"/>
  <c r="D343" i="3" s="1"/>
  <c r="D342" i="3" a="1"/>
  <c r="D342" i="3" s="1"/>
  <c r="D341" i="3" a="1"/>
  <c r="D341" i="3" s="1"/>
  <c r="D300" i="3" a="1"/>
  <c r="D300" i="3" s="1"/>
  <c r="D296" i="3" a="1"/>
  <c r="D296" i="3" s="1"/>
  <c r="D272" i="3" a="1"/>
  <c r="D272" i="3" s="1"/>
  <c r="D267" i="3" a="1"/>
  <c r="D267" i="3" s="1"/>
  <c r="D28" i="3" a="1"/>
  <c r="D28" i="3" s="1"/>
  <c r="D291" i="3" a="1"/>
  <c r="D291" i="3" s="1"/>
  <c r="D289" i="3" a="1"/>
  <c r="D289" i="3" s="1"/>
  <c r="D287" i="3" a="1"/>
  <c r="D287" i="3" s="1"/>
  <c r="D284" i="3" a="1"/>
  <c r="D284" i="3" s="1"/>
  <c r="D282" i="3" a="1"/>
  <c r="D282" i="3" s="1"/>
  <c r="D280" i="3" a="1"/>
  <c r="D280" i="3" s="1"/>
  <c r="D278" i="3" a="1"/>
  <c r="D278" i="3" s="1"/>
  <c r="D276" i="3" a="1"/>
  <c r="D276" i="3" s="1"/>
  <c r="D273" i="3" a="1"/>
  <c r="D273" i="3" s="1"/>
  <c r="D270" i="3" a="1"/>
  <c r="D270" i="3" s="1"/>
  <c r="D263" i="3" a="1"/>
  <c r="D263" i="3" s="1"/>
  <c r="D201" i="3" a="1"/>
  <c r="D201" i="3" s="1"/>
  <c r="D262" i="3" a="1"/>
  <c r="D262" i="3" s="1"/>
  <c r="D260" i="3" a="1"/>
  <c r="D260" i="3" s="1"/>
  <c r="D259" i="3" a="1"/>
  <c r="D259" i="3" s="1"/>
  <c r="D258" i="3" a="1"/>
  <c r="D258" i="3" s="1"/>
  <c r="D256" i="3" a="1"/>
  <c r="D256" i="3" s="1"/>
  <c r="D251" i="3" a="1"/>
  <c r="D251" i="3" s="1"/>
  <c r="D245" i="3" a="1"/>
  <c r="D245" i="3" s="1"/>
  <c r="D243" i="3" a="1"/>
  <c r="D243" i="3" s="1"/>
  <c r="D241" i="3" a="1"/>
  <c r="D241" i="3" s="1"/>
  <c r="D239" i="3" a="1"/>
  <c r="D239" i="3" s="1"/>
  <c r="D237" i="3" a="1"/>
  <c r="D237" i="3" s="1"/>
  <c r="D118" i="3" a="1"/>
  <c r="D118" i="3" s="1"/>
  <c r="D113" i="3" a="1"/>
  <c r="D113" i="3" s="1"/>
  <c r="D109" i="3" a="1"/>
  <c r="D109" i="3" s="1"/>
  <c r="D106" i="3" a="1"/>
  <c r="D106" i="3" s="1"/>
  <c r="D102" i="3" a="1"/>
  <c r="D102" i="3" s="1"/>
  <c r="D93" i="3" a="1"/>
  <c r="D93" i="3" s="1"/>
  <c r="D80" i="3" a="1"/>
  <c r="D80" i="3" s="1"/>
  <c r="D53" i="3" a="1"/>
  <c r="D53" i="3" s="1"/>
  <c r="D212" i="3" a="1"/>
  <c r="D212" i="3" s="1"/>
  <c r="D98" i="3" a="1"/>
  <c r="D98" i="3" s="1"/>
  <c r="D90" i="3" a="1"/>
  <c r="D90" i="3" s="1"/>
  <c r="D60" i="3" a="1"/>
  <c r="D60" i="3" s="1"/>
  <c r="D30" i="3" a="1"/>
  <c r="D30" i="3" s="1"/>
  <c r="D76" i="3" a="1"/>
  <c r="D76" i="3" s="1"/>
  <c r="D73" i="3" a="1"/>
  <c r="D73" i="3" s="1"/>
  <c r="D340" i="3" a="1"/>
  <c r="D340" i="3" s="1"/>
  <c r="D339" i="3" a="1"/>
  <c r="D339" i="3" s="1"/>
  <c r="D629" i="3" a="1"/>
  <c r="D629" i="3" s="1"/>
  <c r="D626" i="3" a="1"/>
  <c r="D626" i="3" s="1"/>
  <c r="D561" i="3" a="1"/>
  <c r="D561" i="3" s="1"/>
  <c r="D557" i="3" a="1"/>
  <c r="D557" i="3" s="1"/>
  <c r="D555" i="3" a="1"/>
  <c r="D555" i="3" s="1"/>
  <c r="D553" i="3" a="1"/>
  <c r="D553" i="3" s="1"/>
  <c r="D552" i="3" a="1"/>
  <c r="D552" i="3" s="1"/>
  <c r="D550" i="3" a="1"/>
  <c r="D550" i="3" s="1"/>
  <c r="D548" i="3" a="1"/>
  <c r="D548" i="3" s="1"/>
  <c r="D546" i="3" a="1"/>
  <c r="D546" i="3" s="1"/>
  <c r="D544" i="3" a="1"/>
  <c r="D544" i="3" s="1"/>
  <c r="D542" i="3" a="1"/>
  <c r="D542" i="3" s="1"/>
  <c r="D540" i="3" a="1"/>
  <c r="D540" i="3" s="1"/>
  <c r="D451" i="3" a="1"/>
  <c r="D451" i="3" s="1"/>
  <c r="D449" i="3" a="1"/>
  <c r="D449" i="3" s="1"/>
  <c r="D447" i="3" a="1"/>
  <c r="D447" i="3" s="1"/>
  <c r="D446" i="3" a="1"/>
  <c r="D446" i="3" s="1"/>
  <c r="D444" i="3" a="1"/>
  <c r="D444" i="3" s="1"/>
  <c r="D442" i="3" a="1"/>
  <c r="D442" i="3" s="1"/>
  <c r="D440" i="3" a="1"/>
  <c r="D440" i="3" s="1"/>
  <c r="D438" i="3" a="1"/>
  <c r="D438" i="3" s="1"/>
  <c r="D435" i="3" a="1"/>
  <c r="D435" i="3" s="1"/>
  <c r="D431" i="3" a="1"/>
  <c r="D431" i="3" s="1"/>
  <c r="D428" i="3" a="1"/>
  <c r="D428" i="3" s="1"/>
  <c r="D338" i="3" a="1"/>
  <c r="D338" i="3" s="1"/>
  <c r="D336" i="3" a="1"/>
  <c r="D336" i="3" s="1"/>
  <c r="D334" i="3" a="1"/>
  <c r="D334" i="3" s="1"/>
  <c r="D332" i="3" a="1"/>
  <c r="D332" i="3" s="1"/>
  <c r="D330" i="3" a="1"/>
  <c r="D330" i="3" s="1"/>
  <c r="D328" i="3" a="1"/>
  <c r="D328" i="3" s="1"/>
  <c r="D326" i="3" a="1"/>
  <c r="D326" i="3" s="1"/>
  <c r="D324" i="3" a="1"/>
  <c r="D324" i="3" s="1"/>
  <c r="D322" i="3" a="1"/>
  <c r="D322" i="3" s="1"/>
  <c r="D320" i="3" a="1"/>
  <c r="D320" i="3" s="1"/>
  <c r="D318" i="3" a="1"/>
  <c r="D318" i="3" s="1"/>
  <c r="D255" i="3" a="1"/>
  <c r="D255" i="3" s="1"/>
  <c r="D315" i="3" a="1"/>
  <c r="D315" i="3" s="1"/>
  <c r="D313" i="3" a="1"/>
  <c r="D313" i="3" s="1"/>
  <c r="D311" i="3" a="1"/>
  <c r="D311" i="3" s="1"/>
  <c r="D309" i="3" a="1"/>
  <c r="D309" i="3" s="1"/>
  <c r="D307" i="3" a="1"/>
  <c r="D307" i="3" s="1"/>
  <c r="D305" i="3" a="1"/>
  <c r="D305" i="3" s="1"/>
  <c r="D303" i="3" a="1"/>
  <c r="D303" i="3" s="1"/>
  <c r="D301" i="3" a="1"/>
  <c r="D301" i="3" s="1"/>
  <c r="D299" i="3" a="1"/>
  <c r="D299" i="3" s="1"/>
  <c r="D297" i="3" a="1"/>
  <c r="D297" i="3" s="1"/>
  <c r="D295" i="3" a="1"/>
  <c r="D295" i="3" s="1"/>
  <c r="D293" i="3" a="1"/>
  <c r="D293" i="3" s="1"/>
  <c r="D274" i="3" a="1"/>
  <c r="D274" i="3" s="1"/>
  <c r="D271" i="3" a="1"/>
  <c r="D271" i="3" s="1"/>
  <c r="D268" i="3" a="1"/>
  <c r="D268" i="3" s="1"/>
  <c r="D265" i="3" a="1"/>
  <c r="D265" i="3" s="1"/>
  <c r="D33" i="3" a="1"/>
  <c r="D33" i="3" s="1"/>
  <c r="D24" i="3" a="1"/>
  <c r="D24" i="3" s="1"/>
  <c r="D204" i="3" a="1"/>
  <c r="D204" i="3" s="1"/>
  <c r="D121" i="3" a="1"/>
  <c r="D121" i="3" s="1"/>
  <c r="D316" i="3" a="1"/>
  <c r="D316" i="3" s="1"/>
  <c r="D314" i="3" a="1"/>
  <c r="D314" i="3" s="1"/>
  <c r="D312" i="3" a="1"/>
  <c r="D312" i="3" s="1"/>
  <c r="D310" i="3" a="1"/>
  <c r="D310" i="3" s="1"/>
  <c r="D308" i="3" a="1"/>
  <c r="D308" i="3" s="1"/>
  <c r="D306" i="3" a="1"/>
  <c r="D306" i="3" s="1"/>
  <c r="D304" i="3" a="1"/>
  <c r="D304" i="3" s="1"/>
  <c r="D302" i="3" a="1"/>
  <c r="D302" i="3" s="1"/>
  <c r="D298" i="3" a="1"/>
  <c r="D298" i="3" s="1"/>
  <c r="D294" i="3" a="1"/>
  <c r="D294" i="3" s="1"/>
  <c r="D292" i="3" a="1"/>
  <c r="D292" i="3" s="1"/>
  <c r="D269" i="3" a="1"/>
  <c r="D269" i="3" s="1"/>
  <c r="D264" i="3" a="1"/>
  <c r="D264" i="3" s="1"/>
  <c r="D144" i="3" a="1"/>
  <c r="D144" i="3" s="1"/>
  <c r="D223" i="3" a="1"/>
  <c r="D223" i="3" s="1"/>
  <c r="D290" i="3" a="1"/>
  <c r="D290" i="3" s="1"/>
  <c r="D288" i="3" a="1"/>
  <c r="D288" i="3" s="1"/>
  <c r="D286" i="3" a="1"/>
  <c r="D286" i="3" s="1"/>
  <c r="D285" i="3" a="1"/>
  <c r="D285" i="3" s="1"/>
  <c r="D283" i="3" a="1"/>
  <c r="D283" i="3" s="1"/>
  <c r="D281" i="3" a="1"/>
  <c r="D281" i="3" s="1"/>
  <c r="D279" i="3" a="1"/>
  <c r="D279" i="3" s="1"/>
  <c r="D277" i="3" a="1"/>
  <c r="D277" i="3" s="1"/>
  <c r="D275" i="3" a="1"/>
  <c r="D275" i="3" s="1"/>
  <c r="D266" i="3" a="1"/>
  <c r="D266" i="3" s="1"/>
  <c r="D25" i="3" a="1"/>
  <c r="D25" i="3" s="1"/>
  <c r="D127" i="3" a="1"/>
  <c r="D127" i="3" s="1"/>
  <c r="D261" i="3" a="1"/>
  <c r="D261" i="3" s="1"/>
  <c r="D253" i="3" a="1"/>
  <c r="D253" i="3" s="1"/>
  <c r="D250" i="3" a="1"/>
  <c r="D250" i="3" s="1"/>
  <c r="D249" i="3" a="1"/>
  <c r="D249" i="3" s="1"/>
  <c r="D248" i="3" a="1"/>
  <c r="D248" i="3" s="1"/>
  <c r="D246" i="3" a="1"/>
  <c r="D246" i="3" s="1"/>
  <c r="D244" i="3" a="1"/>
  <c r="D244" i="3" s="1"/>
  <c r="D242" i="3" a="1"/>
  <c r="D242" i="3" s="1"/>
  <c r="D238" i="3" a="1"/>
  <c r="D238" i="3" s="1"/>
  <c r="D235" i="3" a="1"/>
  <c r="D235" i="3" s="1"/>
  <c r="D116" i="3" a="1"/>
  <c r="D116" i="3" s="1"/>
  <c r="D110" i="3" a="1"/>
  <c r="D110" i="3" s="1"/>
  <c r="D107" i="3" a="1"/>
  <c r="D107" i="3" s="1"/>
  <c r="D101" i="3" a="1"/>
  <c r="D101" i="3" s="1"/>
  <c r="D91" i="3" a="1"/>
  <c r="D91" i="3" s="1"/>
  <c r="D66" i="3" a="1"/>
  <c r="D66" i="3" s="1"/>
  <c r="D103" i="3" a="1"/>
  <c r="D103" i="3" s="1"/>
  <c r="D96" i="3" a="1"/>
  <c r="D96" i="3" s="1"/>
  <c r="D86" i="3" a="1"/>
  <c r="D86" i="3" s="1"/>
  <c r="D55" i="3" a="1"/>
  <c r="D55" i="3" s="1"/>
  <c r="D77" i="3" a="1"/>
  <c r="D77" i="3" s="1"/>
  <c r="D75" i="3" a="1"/>
  <c r="D75" i="3" s="1"/>
  <c r="D247" i="3" a="1"/>
  <c r="D247" i="3" s="1"/>
  <c r="D240" i="3" a="1"/>
  <c r="D240" i="3" s="1"/>
  <c r="D236" i="3" a="1"/>
  <c r="D236" i="3" s="1"/>
  <c r="D115" i="3" a="1"/>
  <c r="D115" i="3" s="1"/>
  <c r="D111" i="3" a="1"/>
  <c r="D111" i="3" s="1"/>
  <c r="D104" i="3" a="1"/>
  <c r="D104" i="3" s="1"/>
  <c r="D97" i="3" a="1"/>
  <c r="D97" i="3" s="1"/>
  <c r="D88" i="3" a="1"/>
  <c r="D88" i="3" s="1"/>
  <c r="D58" i="3" a="1"/>
  <c r="D58" i="3" s="1"/>
  <c r="D132" i="3" a="1"/>
  <c r="D132" i="3" s="1"/>
  <c r="D94" i="3" a="1"/>
  <c r="D94" i="3" s="1"/>
  <c r="D82" i="3" a="1"/>
  <c r="D82" i="3" s="1"/>
  <c r="D37" i="3" a="1"/>
  <c r="D37" i="3" s="1"/>
  <c r="D225" i="3" a="1"/>
  <c r="D225" i="3" s="1"/>
  <c r="D74" i="3" a="1"/>
  <c r="D74" i="3" s="1"/>
  <c r="D72" i="3" a="1"/>
  <c r="D72" i="3" s="1"/>
  <c r="D234" i="3" a="1"/>
  <c r="D234" i="3" s="1"/>
  <c r="D233" i="3" a="1"/>
  <c r="D233" i="3" s="1"/>
  <c r="D232" i="3" a="1"/>
  <c r="D232" i="3" s="1"/>
  <c r="D231" i="3" a="1"/>
  <c r="D231" i="3" s="1"/>
  <c r="D229" i="3" a="1"/>
  <c r="D229" i="3" s="1"/>
  <c r="D228" i="3" a="1"/>
  <c r="D228" i="3" s="1"/>
  <c r="D114" i="3" a="1"/>
  <c r="D114" i="3" s="1"/>
  <c r="D222" i="3" a="1"/>
  <c r="D222" i="3" s="1"/>
  <c r="D216" i="3" a="1"/>
  <c r="D216" i="3" s="1"/>
  <c r="D210" i="3" a="1"/>
  <c r="D210" i="3" s="1"/>
  <c r="D203" i="3" a="1"/>
  <c r="D203" i="3" s="1"/>
  <c r="D198" i="3" a="1"/>
  <c r="D198" i="3" s="1"/>
  <c r="D192" i="3" a="1"/>
  <c r="D192" i="3" s="1"/>
  <c r="D183" i="3" a="1"/>
  <c r="D183" i="3" s="1"/>
  <c r="D175" i="3" a="1"/>
  <c r="D175" i="3" s="1"/>
  <c r="D169" i="3" a="1"/>
  <c r="D169" i="3" s="1"/>
  <c r="D162" i="3" a="1"/>
  <c r="D162" i="3" s="1"/>
  <c r="D156" i="3" a="1"/>
  <c r="D156" i="3" s="1"/>
  <c r="D89" i="3" a="1"/>
  <c r="D89" i="3" s="1"/>
  <c r="D85" i="3" a="1"/>
  <c r="D85" i="3" s="1"/>
  <c r="D81" i="3" a="1"/>
  <c r="D81" i="3" s="1"/>
  <c r="D71" i="3" a="1"/>
  <c r="D71" i="3" s="1"/>
  <c r="D59" i="3" a="1"/>
  <c r="D59" i="3" s="1"/>
  <c r="D54" i="3" a="1"/>
  <c r="D54" i="3" s="1"/>
  <c r="D38" i="3" a="1"/>
  <c r="D38" i="3" s="1"/>
  <c r="D32" i="3" a="1"/>
  <c r="D32" i="3" s="1"/>
  <c r="D23" i="3" a="1"/>
  <c r="D23" i="3" s="1"/>
  <c r="D136" i="3" a="1"/>
  <c r="D136" i="3" s="1"/>
  <c r="D230" i="3" a="1"/>
  <c r="D230" i="3" s="1"/>
  <c r="D227" i="3" a="1"/>
  <c r="D227" i="3" s="1"/>
  <c r="D226" i="3" a="1"/>
  <c r="D226" i="3" s="1"/>
  <c r="D219" i="3" a="1"/>
  <c r="D219" i="3" s="1"/>
  <c r="D213" i="3" a="1"/>
  <c r="D213" i="3" s="1"/>
  <c r="D207" i="3" a="1"/>
  <c r="D207" i="3" s="1"/>
  <c r="D200" i="3" a="1"/>
  <c r="D200" i="3" s="1"/>
  <c r="D195" i="3" a="1"/>
  <c r="D195" i="3" s="1"/>
  <c r="D189" i="3" a="1"/>
  <c r="D189" i="3" s="1"/>
  <c r="D186" i="3" a="1"/>
  <c r="D186" i="3" s="1"/>
  <c r="D178" i="3" a="1"/>
  <c r="D178" i="3" s="1"/>
  <c r="D172" i="3" a="1"/>
  <c r="D172" i="3" s="1"/>
  <c r="D165" i="3" a="1"/>
  <c r="D165" i="3" s="1"/>
  <c r="D159" i="3" a="1"/>
  <c r="D159" i="3" s="1"/>
  <c r="D153" i="3" a="1"/>
  <c r="D153" i="3" s="1"/>
  <c r="D87" i="3" a="1"/>
  <c r="D87" i="3" s="1"/>
  <c r="D83" i="3" a="1"/>
  <c r="D83" i="3" s="1"/>
  <c r="D79" i="3" a="1"/>
  <c r="D79" i="3" s="1"/>
  <c r="D64" i="3" a="1"/>
  <c r="D64" i="3" s="1"/>
  <c r="D57" i="3" a="1"/>
  <c r="D57" i="3" s="1"/>
  <c r="D52" i="3" a="1"/>
  <c r="D52" i="3" s="1"/>
  <c r="D34" i="3" a="1"/>
  <c r="D34" i="3" s="1"/>
  <c r="D27" i="3" a="1"/>
  <c r="D27" i="3" s="1"/>
  <c r="D206" i="3" a="1"/>
  <c r="D206" i="3" s="1"/>
  <c r="D130" i="3" a="1"/>
  <c r="D130" i="3" s="1"/>
  <c r="D150" i="3" a="1"/>
  <c r="D150" i="3" s="1"/>
  <c r="D147" i="3" a="1"/>
  <c r="D147" i="3" s="1"/>
  <c r="D145" i="3" a="1"/>
  <c r="D145" i="3" s="1"/>
  <c r="D142" i="3" a="1"/>
  <c r="D142" i="3" s="1"/>
  <c r="D140" i="3" a="1"/>
  <c r="D140" i="3" s="1"/>
  <c r="D138" i="3" a="1"/>
  <c r="D138" i="3" s="1"/>
  <c r="D137" i="3" a="1"/>
  <c r="D137" i="3" s="1"/>
  <c r="D135" i="3" a="1"/>
  <c r="D135" i="3" s="1"/>
  <c r="D133" i="3" a="1"/>
  <c r="D133" i="3" s="1"/>
  <c r="D131" i="3" a="1"/>
  <c r="D131" i="3" s="1"/>
  <c r="D129" i="3" a="1"/>
  <c r="D129" i="3" s="1"/>
  <c r="D128" i="3" a="1"/>
  <c r="D128" i="3" s="1"/>
  <c r="D126" i="3" a="1"/>
  <c r="D126" i="3" s="1"/>
  <c r="D125" i="3" a="1"/>
  <c r="D125" i="3" s="1"/>
  <c r="D124" i="3" a="1"/>
  <c r="D124" i="3" s="1"/>
  <c r="D123" i="3" a="1"/>
  <c r="D123" i="3" s="1"/>
  <c r="D122" i="3" a="1"/>
  <c r="D122" i="3" s="1"/>
  <c r="D120" i="3" a="1"/>
  <c r="D120" i="3" s="1"/>
  <c r="D119" i="3" a="1"/>
  <c r="D119" i="3" s="1"/>
  <c r="D117" i="3" a="1"/>
  <c r="D117" i="3" s="1"/>
  <c r="D112" i="3" a="1"/>
  <c r="D112" i="3" s="1"/>
  <c r="D108" i="3" a="1"/>
  <c r="D108" i="3" s="1"/>
  <c r="D105" i="3" a="1"/>
  <c r="D105" i="3" s="1"/>
  <c r="D99" i="3" a="1"/>
  <c r="D99" i="3" s="1"/>
  <c r="D95" i="3" a="1"/>
  <c r="D95" i="3" s="1"/>
  <c r="D84" i="3" a="1"/>
  <c r="D84" i="3" s="1"/>
  <c r="D36" i="3" a="1"/>
  <c r="D36" i="3" s="1"/>
  <c r="D29" i="3" a="1"/>
  <c r="D29" i="3" s="1"/>
  <c r="D100" i="3" a="1"/>
  <c r="D100" i="3" s="1"/>
  <c r="D92" i="3" a="1"/>
  <c r="D92" i="3" s="1"/>
  <c r="D63" i="3" a="1"/>
  <c r="D63" i="3" s="1"/>
  <c r="D209" i="3" a="1"/>
  <c r="D209" i="3" s="1"/>
  <c r="D627" i="3" a="1"/>
  <c r="D627" i="3" s="1"/>
  <c r="D69" i="3" a="1"/>
  <c r="D69" i="3" s="1"/>
  <c r="D68" i="3" a="1"/>
  <c r="D68" i="3" s="1"/>
  <c r="D67" i="3" a="1"/>
  <c r="D67" i="3" s="1"/>
  <c r="D65" i="3" a="1"/>
  <c r="D65" i="3" s="1"/>
  <c r="D61" i="3" a="1"/>
  <c r="D61" i="3" s="1"/>
  <c r="D62" i="3" a="1"/>
  <c r="D62" i="3" s="1"/>
  <c r="D56" i="3" a="1"/>
  <c r="D56" i="3" s="1"/>
  <c r="D51" i="3" a="1"/>
  <c r="D51" i="3" s="1"/>
  <c r="D31" i="3" a="1"/>
  <c r="D31" i="3" s="1"/>
  <c r="D22" i="3" a="1"/>
  <c r="D22" i="3" s="1"/>
  <c r="D134" i="3" a="1"/>
  <c r="D134" i="3" s="1"/>
  <c r="D50" i="3" a="1"/>
  <c r="D50" i="3" s="1"/>
  <c r="D49" i="3" a="1"/>
  <c r="D49" i="3" s="1"/>
  <c r="D48" i="3" a="1"/>
  <c r="D48" i="3" s="1"/>
  <c r="D47" i="3" a="1"/>
  <c r="D47" i="3" s="1"/>
  <c r="D46" i="3" a="1"/>
  <c r="D46" i="3" s="1"/>
  <c r="D45" i="3" a="1"/>
  <c r="D45" i="3" s="1"/>
  <c r="D44" i="3" a="1"/>
  <c r="D44" i="3" s="1"/>
  <c r="D43" i="3" a="1"/>
  <c r="D43" i="3" s="1"/>
  <c r="D42" i="3" a="1"/>
  <c r="D42" i="3" s="1"/>
  <c r="D41" i="3" a="1"/>
  <c r="D41" i="3" s="1"/>
  <c r="D40" i="3" a="1"/>
  <c r="D40" i="3" s="1"/>
  <c r="D39" i="3" a="1"/>
  <c r="D39" i="3" s="1"/>
  <c r="D35" i="3" a="1"/>
  <c r="D35" i="3" s="1"/>
  <c r="D26" i="3" a="1"/>
  <c r="D26" i="3" s="1"/>
  <c r="D141" i="3" a="1"/>
  <c r="D141" i="3" s="1"/>
  <c r="D21" i="3" a="1"/>
  <c r="D21" i="3" s="1"/>
  <c r="D20" i="3" a="1"/>
  <c r="D20" i="3" s="1"/>
  <c r="D19" i="3" a="1"/>
  <c r="D19" i="3" s="1"/>
  <c r="D18" i="3" a="1"/>
  <c r="D18" i="3" s="1"/>
  <c r="D17" i="3" a="1"/>
  <c r="D17" i="3" s="1"/>
  <c r="D16" i="3" a="1"/>
  <c r="D16" i="3" s="1"/>
  <c r="D15" i="3" a="1"/>
  <c r="D15" i="3" s="1"/>
  <c r="D14" i="3" a="1"/>
  <c r="D14" i="3" s="1"/>
  <c r="D13" i="3" a="1"/>
  <c r="D13" i="3" s="1"/>
  <c r="D12" i="3" a="1"/>
  <c r="D12" i="3" s="1"/>
  <c r="D11" i="3" a="1"/>
  <c r="D11" i="3" s="1"/>
  <c r="D10" i="3" a="1"/>
  <c r="D10" i="3" s="1"/>
  <c r="D9" i="3" a="1"/>
  <c r="D9" i="3" s="1"/>
  <c r="D8" i="3" a="1"/>
  <c r="D8" i="3" s="1"/>
  <c r="D7" i="3" a="1"/>
  <c r="D7" i="3" s="1"/>
  <c r="D6" i="3" a="1"/>
  <c r="D6" i="3" s="1"/>
  <c r="D5" i="3" a="1"/>
  <c r="D5" i="3" s="1"/>
  <c r="D4" i="3" a="1"/>
  <c r="D4" i="3" s="1"/>
  <c r="D3" i="3" a="1"/>
  <c r="D3" i="3" s="1"/>
  <c r="D2" i="3" a="1"/>
  <c r="D2" i="3" s="1"/>
  <c r="D224" i="3" a="1"/>
  <c r="D224" i="3" s="1"/>
  <c r="D221" i="3" a="1"/>
  <c r="D221" i="3" s="1"/>
  <c r="D218" i="3" a="1"/>
  <c r="D218" i="3" s="1"/>
  <c r="D215" i="3" a="1"/>
  <c r="D215" i="3" s="1"/>
  <c r="D139" i="3" a="1"/>
  <c r="D139" i="3" s="1"/>
  <c r="D197" i="3" a="1"/>
  <c r="D197" i="3" s="1"/>
  <c r="D194" i="3" a="1"/>
  <c r="D194" i="3" s="1"/>
  <c r="D191" i="3" a="1"/>
  <c r="D191" i="3" s="1"/>
  <c r="D70" i="3" a="1"/>
  <c r="D70" i="3" s="1"/>
  <c r="D185" i="3" a="1"/>
  <c r="D185" i="3" s="1"/>
  <c r="D182" i="3" a="1"/>
  <c r="D182" i="3" s="1"/>
  <c r="D180" i="3" a="1"/>
  <c r="D180" i="3" s="1"/>
  <c r="D177" i="3" a="1"/>
  <c r="D177" i="3" s="1"/>
  <c r="D173" i="3" a="1"/>
  <c r="D173" i="3" s="1"/>
  <c r="D170" i="3" a="1"/>
  <c r="D170" i="3" s="1"/>
  <c r="D167" i="3" a="1"/>
  <c r="D167" i="3" s="1"/>
  <c r="D164" i="3" a="1"/>
  <c r="D164" i="3" s="1"/>
  <c r="D161" i="3" a="1"/>
  <c r="D161" i="3" s="1"/>
  <c r="D158" i="3" a="1"/>
  <c r="D158" i="3" s="1"/>
  <c r="D155" i="3" a="1"/>
  <c r="D155" i="3" s="1"/>
  <c r="D151" i="3" a="1"/>
  <c r="D151" i="3" s="1"/>
  <c r="D148" i="3" a="1"/>
  <c r="D148" i="3" s="1"/>
  <c r="D146" i="3" a="1"/>
  <c r="D146" i="3" s="1"/>
  <c r="D220" i="3" a="1"/>
  <c r="D220" i="3" s="1"/>
  <c r="D217" i="3" a="1"/>
  <c r="D217" i="3" s="1"/>
  <c r="D214" i="3" a="1"/>
  <c r="D214" i="3" s="1"/>
  <c r="D211" i="3" a="1"/>
  <c r="D211" i="3" s="1"/>
  <c r="D208" i="3" a="1"/>
  <c r="D208" i="3" s="1"/>
  <c r="D205" i="3" a="1"/>
  <c r="D205" i="3" s="1"/>
  <c r="D202" i="3" a="1"/>
  <c r="D202" i="3" s="1"/>
  <c r="D199" i="3" a="1"/>
  <c r="D199" i="3" s="1"/>
  <c r="D614" i="3" a="1"/>
  <c r="D614" i="3" s="1"/>
  <c r="D613" i="3" a="1"/>
  <c r="D613" i="3" s="1"/>
  <c r="D612" i="3" a="1"/>
  <c r="D612" i="3" s="1"/>
  <c r="D611" i="3" a="1"/>
  <c r="D611" i="3" s="1"/>
  <c r="D610" i="3" a="1"/>
  <c r="D610" i="3" s="1"/>
  <c r="D609" i="3" a="1"/>
  <c r="D609" i="3" s="1"/>
  <c r="D608" i="3" a="1"/>
  <c r="D608" i="3" s="1"/>
  <c r="D607" i="3" a="1"/>
  <c r="D607" i="3" s="1"/>
  <c r="D606" i="3" a="1"/>
  <c r="D606" i="3" s="1"/>
  <c r="D605" i="3" a="1"/>
  <c r="D605" i="3" s="1"/>
  <c r="D604" i="3" a="1"/>
  <c r="D604" i="3" s="1"/>
  <c r="D603" i="3" a="1"/>
  <c r="D603" i="3" s="1"/>
  <c r="D602" i="3" a="1"/>
  <c r="D602" i="3" s="1"/>
  <c r="D601" i="3" a="1"/>
  <c r="D601" i="3" s="1"/>
  <c r="D600" i="3" a="1"/>
  <c r="D600" i="3" s="1"/>
  <c r="D598" i="3" a="1"/>
  <c r="D598" i="3" s="1"/>
  <c r="D596" i="3" a="1"/>
  <c r="D596" i="3" s="1"/>
  <c r="D187" i="3" a="1"/>
  <c r="D187" i="3" s="1"/>
  <c r="D568" i="3" a="1"/>
  <c r="D568" i="3" s="1"/>
  <c r="D405" i="3" a="1"/>
  <c r="D405" i="3" s="1"/>
  <c r="D399" i="3" a="1"/>
  <c r="D399" i="3" s="1"/>
  <c r="D401" i="3" a="1"/>
  <c r="D401" i="3" s="1"/>
  <c r="D78" i="3" a="1"/>
  <c r="D78" i="3" s="1"/>
  <c r="D391" i="3" a="1"/>
  <c r="D391" i="3" s="1"/>
  <c r="D387" i="3" a="1"/>
  <c r="D387" i="3" s="1"/>
  <c r="D383" i="3" a="1"/>
  <c r="D383" i="3" s="1"/>
  <c r="D378" i="3" a="1"/>
  <c r="D378" i="3" s="1"/>
  <c r="D630" i="3" a="1"/>
  <c r="D630" i="3" s="1"/>
  <c r="D554" i="3" a="1"/>
  <c r="D554" i="3" s="1"/>
  <c r="D445" i="3" a="1"/>
  <c r="D445" i="3" s="1"/>
  <c r="D427" i="3" a="1"/>
  <c r="D427" i="3" s="1"/>
  <c r="D416" i="3" a="1"/>
  <c r="D416" i="3" s="1"/>
  <c r="D409" i="3" a="1"/>
  <c r="D409" i="3" s="1"/>
  <c r="D403" i="3" a="1"/>
  <c r="D403" i="3" s="1"/>
  <c r="D393" i="3" a="1"/>
  <c r="D393" i="3" s="1"/>
  <c r="D389" i="3" a="1"/>
  <c r="D389" i="3" s="1"/>
  <c r="D385" i="3" a="1"/>
  <c r="D385" i="3" s="1"/>
  <c r="D381" i="3" a="1"/>
  <c r="D381" i="3" s="1"/>
  <c r="D374" i="3" a="1"/>
  <c r="D374" i="3" s="1"/>
  <c r="D562" i="3" a="1"/>
  <c r="D562" i="3" s="1"/>
  <c r="D541" i="3" a="1"/>
  <c r="D541" i="3" s="1"/>
  <c r="D436" i="3" a="1"/>
  <c r="D436" i="3" s="1"/>
  <c r="D421" i="3" a="1"/>
  <c r="D421" i="3" s="1"/>
  <c r="D412" i="3" a="1"/>
  <c r="D412" i="3" s="1"/>
  <c r="D407" i="3" a="1"/>
  <c r="D407" i="3" s="1"/>
  <c r="D567" i="3" a="1"/>
  <c r="D567" i="3" s="1"/>
  <c r="D566" i="3" a="1"/>
  <c r="D566" i="3" s="1"/>
  <c r="D565" i="3" a="1"/>
  <c r="D565" i="3" s="1"/>
  <c r="D564" i="3" a="1"/>
  <c r="D564" i="3" s="1"/>
  <c r="E1" i="3" l="1" a="1"/>
  <c r="E1"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<sst xmlns="http://schemas.openxmlformats.org/spreadsheetml/2006/main" count="4864" uniqueCount="380">
  <si>
    <t>Noise Filter</t>
  </si>
  <si>
    <t>Effekt wackelt im unteren Bereich ständig (Effekt Zittern, typisch bei Surge oder Roll)</t>
  </si>
  <si>
    <t>Der Verfahrweg des Effekts ist mir zu viel</t>
  </si>
  <si>
    <t>Speed ändert sich</t>
  </si>
  <si>
    <t>Beschleunigung ändert sich</t>
  </si>
  <si>
    <t>genutzter Verfahrweg ändert sich in Prozent in Abhängigkeit des eingestellten maximalen Weges</t>
  </si>
  <si>
    <t>gefühlte Stärke (Intensity) ändert sich</t>
  </si>
  <si>
    <t>weniger Weg = mehr Speed</t>
  </si>
  <si>
    <t>weniger Weg = mehr Beschleunigung</t>
  </si>
  <si>
    <t>Effekt wird rauher oder smoother</t>
  </si>
  <si>
    <t>Effekt wird ruppiger oder träger</t>
  </si>
  <si>
    <t>Effekt wird schneller oder langsamer</t>
  </si>
  <si>
    <t>Effekt wird gefiltert oder ungefiltert (Störsignale verschwinden bei hohen Werten)</t>
  </si>
  <si>
    <t>weniger Weg = weniger Bewegung</t>
  </si>
  <si>
    <t>Effekt Gain</t>
  </si>
  <si>
    <t>Input Limit</t>
  </si>
  <si>
    <t>Effekt fährt  zu schnell</t>
  </si>
  <si>
    <t>Effekt fährt zu langsam</t>
  </si>
  <si>
    <t>Stärke</t>
  </si>
  <si>
    <t>Smoothness</t>
  </si>
  <si>
    <t>Details</t>
  </si>
  <si>
    <t>Effekt ist viel zu heftig, zu stark</t>
  </si>
  <si>
    <t>Der Verfahrweg des Effekts ist mir zu wenig</t>
  </si>
  <si>
    <t>Verfahrweg</t>
  </si>
  <si>
    <t>Effekt zu schwach</t>
  </si>
  <si>
    <t>Motion Gain / Globaler Gain</t>
  </si>
  <si>
    <t>Plattform Gain / Zusatz Element Gain</t>
  </si>
  <si>
    <t>Motion Range (maximaler Verfahrweg)</t>
  </si>
  <si>
    <t>Werte: 0-100%</t>
  </si>
  <si>
    <t>Telemetrie wird verstärkt</t>
  </si>
  <si>
    <t>Telemetrie greift früher</t>
  </si>
  <si>
    <t>Effekt wird massiv verstärkt</t>
  </si>
  <si>
    <t>Grenze des Weges wird früher erreicht, je niedriger der Wert eingestellt ist</t>
  </si>
  <si>
    <t>nur so niedrig wie nötig einstellen</t>
  </si>
  <si>
    <t>Werte: Grenze wäre bei 0.1, wird man aber niemals so einstellen, Gain steigt dadurch expotentiell</t>
  </si>
  <si>
    <t>Input Limit kleiner wie Telemetrie = Gain steigt über 100% expotentiell!!!</t>
  </si>
  <si>
    <t>dient als extremer Gain Verstärker!!!</t>
  </si>
  <si>
    <t>Effekt Washout</t>
  </si>
  <si>
    <t>Noise Filter - Target Frequenzies</t>
  </si>
  <si>
    <t>Soft Limiter</t>
  </si>
  <si>
    <t>Gegen Clipping / sauberes Abfedern wenn Effekt an Grenze kommt</t>
  </si>
  <si>
    <t>Soft Limiter - Dynamic input range compression</t>
  </si>
  <si>
    <t>Response Curve - Gamma Factor</t>
  </si>
  <si>
    <t>Response Curve - Dead zone (Percent)</t>
  </si>
  <si>
    <t>Response Curve - Dead Zone exit smoothing (Percent)</t>
  </si>
  <si>
    <t>Response Curve - Dead Zone exit kick (Percent)</t>
  </si>
  <si>
    <t>Response Curve - Flip output sign</t>
  </si>
  <si>
    <t>Effekt Tot Zone</t>
  </si>
  <si>
    <t>Totzone läuft weich aus oder eben sehr hart und abruppt</t>
  </si>
  <si>
    <t>Return to Center - Tendenz nur für Flugsims</t>
  </si>
  <si>
    <t>Global Motion Smoothing</t>
  </si>
  <si>
    <t>Haptics Gain</t>
  </si>
  <si>
    <t>Effect Smoothing</t>
  </si>
  <si>
    <t>Effect Scaling</t>
  </si>
  <si>
    <t>zusammen oder getrennt</t>
  </si>
  <si>
    <t>Gamma Kurve &gt;&gt; Hoher Wert (über 1) &gt; unten mehr Details bei wenig Telemetrie (Telemetrie wird verstärkt) / Niedriger Wert (unter 1) &gt; unten weniger Details bei wenig Telemetrie (Telemetrie wird reduziert) / 1.0 = Linear</t>
  </si>
  <si>
    <t>Tiefenpassfilter &gt;&gt; entfernt Störsignale und Effekt-Zittern (Beispiel unerwünschtes Surge Zittern) - TESTEN!!!! Je höher der Wert, desto stärker wird entstört (Effekt wird ruhiger, nicht mehr so nervös)</t>
  </si>
  <si>
    <t>Werte: 1-30: leichte Filterung, hohe Reaktionsgeschwindigkeit / 40-70: ausgewogene Filterung, gute Glättung / 80-100: starke Filterung, sehr ruhiges Verhalten</t>
  </si>
  <si>
    <t>legt fest, welche Frequenzbereiche vom Filter bevorzugt behandelt werden.</t>
  </si>
  <si>
    <t>Welche Art von Rauschen unterdrückt wird:</t>
  </si>
  <si>
    <t>1-30 &gt;&gt; Fokus auf tiefe Frequenzen (Motorbrummen, Bodenwellen)</t>
  </si>
  <si>
    <t>40-70 &gt;&gt; breites Spektrum</t>
  </si>
  <si>
    <t>80-100 &gt;&gt; Fokus auf hohe Frequenzen (z.B. ABS Rattern, Curbs) Hoher Wert &gt;&gt; nur Schnelle Bewegungen werden durch gelassen</t>
  </si>
  <si>
    <t>Heave: 40-80 schnelle Bewegungen kommen durch während die langsamen gefiltert werden (Tendenz wäre auch auf den Filter hier zu verzichten)</t>
  </si>
  <si>
    <t>Surge: 20-50 nur langsame Bewegungen gehen durch während schnelles Zittern raus gefiltert wird</t>
  </si>
  <si>
    <t>Pitch / Roll: 5-25 man will nur die langsamen Bewegungen, Ruckartige Bewegungen sollen gefiltert werden &gt;&gt; Wobei hier Pitch eher sehr niedrig, Roll aber einen höheren Wert verträgt (eventuell auch auf Filter ganz verzichten)</t>
  </si>
  <si>
    <t>TL: 30-70 mittlere Werte… es soll ja nicht zu schnell sein, aber auch nicht zu langsam</t>
  </si>
  <si>
    <t>Road und Engine Vibration: 70-100 weil man schnelle Bewegungen will</t>
  </si>
  <si>
    <t>Kann man den Noise Filter weglassen?</t>
  </si>
  <si>
    <t>Ja — und in vielen Fällen ist das sogar sinnvoll.</t>
  </si>
  <si>
    <t>Du brauchst ihn NICHT, wenn:</t>
  </si>
  <si>
    <t>die Telemetrie sauber ist</t>
  </si>
  <si>
    <t>du keine Zitterbewegungen hast</t>
  </si>
  <si>
    <t>du maximale Präzision willst</t>
  </si>
  <si>
    <t>du Rally fährst (Heave‑Details!)</t>
  </si>
  <si>
    <t>du TL möglichst roh willst</t>
  </si>
  <si>
    <t>Du brauchst ihn, wenn:</t>
  </si>
  <si>
    <t>ein Effekt zittert</t>
  </si>
  <si>
    <t>ein Effekt „nervös“ ist</t>
  </si>
  <si>
    <t>du Asphalt fährst</t>
  </si>
  <si>
    <t>du Pitch/Roll stabilisieren willst</t>
  </si>
  <si>
    <t>du Sway/Surge glatter willst</t>
  </si>
  <si>
    <t>Der Soft Limiter ist ein sanfter Anschlag‑Schutz, der verhindert, dass:</t>
  </si>
  <si>
    <t>ein Aktuator hart in den mechanischen Endanschlag fährt</t>
  </si>
  <si>
    <t>die Plattform „knallt“</t>
  </si>
  <si>
    <t>der Effekt abrupt clippt</t>
  </si>
  <si>
    <t>die Bewegung unkontrolliert wird</t>
  </si>
  <si>
    <t>Er wirkt nur in der Nähe des Endbereichs deiner Motion Range.</t>
  </si>
  <si>
    <t>Er bremst die Bewegung ab, bevor der Aktuator den Rand erreicht.</t>
  </si>
  <si>
    <t>Das ist wie ein „weicher Puffer“</t>
  </si>
  <si>
    <t>Das ist eine Erweiterung des Soft Limiters.</t>
  </si>
  <si>
    <t>Während der Soft Limiter nur die letzten paar Prozent abfedert, macht Dynamic Compression Folgendes:</t>
  </si>
  <si>
    <t>Wenn die Telemetrie zu groß wird, wird sie dynamisch komprimiert, damit der Effekt trotzdem in deine Motion Range passt.</t>
  </si>
  <si>
    <t>Das bedeutet:</t>
  </si>
  <si>
    <t>Das ist im Prinzip ein automatischer Schutz gegen zu große Ausschläge.</t>
  </si>
  <si>
    <t>große Telemetrie‑Peaks werden zusammengedrückt</t>
  </si>
  <si>
    <t>kleine und mittlere Werte bleiben unverändert</t>
  </si>
  <si>
    <t>der Effekt bleibt kontrollierbar, ohne hart zu clippen</t>
  </si>
  <si>
    <t>Overflow wird massiv reduziert</t>
  </si>
  <si>
    <t>IMMER einschalten, wenn:</t>
  </si>
  <si>
    <t>du große Motion Ranges nutzt</t>
  </si>
  <si>
    <t>du Rally fährst (große Heave‑Peaks!)</t>
  </si>
  <si>
    <t>du TL mit viel Weg nutzt</t>
  </si>
  <si>
    <t>du Surge/Sway stark verstärkst</t>
  </si>
  <si>
    <t>du Overflow vermeiden willst</t>
  </si>
  <si>
    <t>du harte Anschläge vermeiden willst</t>
  </si>
  <si>
    <t>du ein teures Rig schützen willst</t>
  </si>
  <si>
    <t>NICHT einschalten, wenn:</t>
  </si>
  <si>
    <t>du extrem kleine Motion Ranges nutzt (z. B. 10–20 mm)</t>
  </si>
  <si>
    <t>du maximale Direktheit willst</t>
  </si>
  <si>
    <t>du bewusst harte, rohe Bewegungen willst</t>
  </si>
  <si>
    <t>du ein System hast, das mechanisch sowieso nicht anschlagen kann (z. B. sehr große Reserve)</t>
  </si>
  <si>
    <t>Für 99 % aller Rigs gilt:</t>
  </si>
  <si>
    <t>Soft Limiter AN ist die richtige Wahl</t>
  </si>
  <si>
    <t>Aktivieren, wenn:</t>
  </si>
  <si>
    <t>du Spiele mit großen Telemetrie‑Peaks fährst</t>
  </si>
  <si>
    <t>(Rally, WRC, Dirt Rally 2.0, Offroad‑Strecken)</t>
  </si>
  <si>
    <t>du Overflow‑Probleme hast</t>
  </si>
  <si>
    <t>du Input‑Limit niedrig eingestellt hast</t>
  </si>
  <si>
    <t>du Effekte stark verstärkst</t>
  </si>
  <si>
    <t>du harte Clipping‑Spitzen vermeiden willst</t>
  </si>
  <si>
    <t>du TL oder Heave mit viel Weg fährst</t>
  </si>
  <si>
    <t>Nicht aktivieren, wenn:</t>
  </si>
  <si>
    <t>du absolute Telemetrie‑Treue willst</t>
  </si>
  <si>
    <t>du bewusst keine Kompression willst</t>
  </si>
  <si>
    <t>du Motion Range sehr klein hältst</t>
  </si>
  <si>
    <t>du ein sehr schnelles, direktes Rig hast, das Peaks problemlos abfängt</t>
  </si>
  <si>
    <t>Totzonen-Verlassens-Kick</t>
  </si>
  <si>
    <t>Im Gegensatz dazu ermöglicht der Totzonen-Verlassens-Kick, das ruckartige Gefühl beim Verlassen der Totzone zu verstärken. Verwenden Sie sehr niedrige Werte, da eine Übertreibung dieses Verhaltens unangenehm sein kann.</t>
  </si>
  <si>
    <t>Was ist „Dead Zone Exit Kick“?</t>
  </si>
  <si>
    <t>Der Dead Zone Exit Kick ist ein Impuls‑Booster, der genau in dem Moment greift, wenn die Telemetrie die Totzone verlässt.</t>
  </si>
  <si>
    <t>Kurz gesagt:</t>
  </si>
  <si>
    <t>Er gibt dem Effekt einen kleinen „Kick“, sobald du aus der Totzone rauskommst.</t>
  </si>
  <si>
    <t>Wenn die Telemetrie lange im Dead‑Zone‑Bereich war (z. B. 0–0.2)</t>
  </si>
  <si>
    <t>und dann plötzlich darüber steigt (z. B. 0.21)</t>
  </si>
  <si>
    <t>dann erzeugt SimHub einen zusätzlichen Schub, damit der Effekt nicht „klebt“ oder „träge“ wirkt.</t>
  </si>
  <si>
    <t>Es ist also ein Anti‑Stiction‑Impuls.</t>
  </si>
  <si>
    <t>Sinnvoll bei TL, Surge (vielleicht) und Roll - testen</t>
  </si>
  <si>
    <t>Durch Umkehren des Vorzeichens wird die Wirkung des gesamten Effekts umgekehrt, unabhängig von den festgelegten Anweisungen. Verwenden Sie dies nur im äußersten Notfall.</t>
  </si>
  <si>
    <t>Record</t>
  </si>
  <si>
    <t>zum Aufzeichnen von Telemetrie Input um diesen hinterher genau zu analysieren</t>
  </si>
  <si>
    <t>Tools - Open Game Data View</t>
  </si>
  <si>
    <t>Telemetrie Input kann hier Life während dem Fahren beobachtet werden, um die Input Werte zu ermitteln</t>
  </si>
  <si>
    <t>Effect Tuner</t>
  </si>
  <si>
    <t>Hier werden Dir automatisch aufgezeichnete Min/Max Werte der Telemetrie angezeigt vom jeweiligen Effekt - Roh Daten und auch gefilterte Daten</t>
  </si>
  <si>
    <t>Der Effekt Gain ändert die Stärke (Intensity) des jeweiligen Effektes</t>
  </si>
  <si>
    <t>Der Motion Gain ändert die Stärke (Intensity) Global für alle Effekte gleichzeitg</t>
  </si>
  <si>
    <t>Der Motion Gain ändert die Stärke (Intensity) für alle Effekte der Plattform / des jeweilgen Zusatz Elementes</t>
  </si>
  <si>
    <t>Mit dem Input Limit wird bestimmt, wie viel der ankommenden Telemetrie für den Effekt verwendet wird &gt;&gt; Ist der Input Limit kleiner wie die tatsächlichen Telemetrie Daten, dann wird der eingesetzte nutzbare Verfahrweg schneller erreicht - Somit steigt die Stärke des Effektes massiv an</t>
  </si>
  <si>
    <r>
      <t xml:space="preserve">Mit der Motion Range wird fest gelegt, wieviel Verfahrweg vom Aktuator effektiv genutzt werden darf. </t>
    </r>
    <r>
      <rPr>
        <b/>
        <sz val="11"/>
        <color theme="1"/>
        <rFont val="Aptos Narrow"/>
        <family val="2"/>
        <scheme val="minor"/>
      </rPr>
      <t>Wichtig &gt;&gt;</t>
    </r>
    <r>
      <rPr>
        <sz val="11"/>
        <color theme="1"/>
        <rFont val="Aptos Narrow"/>
        <family val="2"/>
        <scheme val="minor"/>
      </rPr>
      <t xml:space="preserve"> Bei Effekten der Plattform ist der angegebene Weg immer der </t>
    </r>
    <r>
      <rPr>
        <b/>
        <sz val="11"/>
        <color theme="1"/>
        <rFont val="Aptos Narrow"/>
        <family val="2"/>
        <scheme val="minor"/>
      </rPr>
      <t xml:space="preserve">Gesamtweg ( 30mm bedeutet also 15mm ins + und 15mm ins -) </t>
    </r>
    <r>
      <rPr>
        <sz val="11"/>
        <color theme="1"/>
        <rFont val="Aptos Narrow"/>
        <family val="2"/>
        <scheme val="minor"/>
      </rPr>
      <t xml:space="preserve">bei Zusatz Elementen wie Surge oder TL ist der angegebenen Wert immer </t>
    </r>
    <r>
      <rPr>
        <b/>
        <sz val="11"/>
        <color theme="1"/>
        <rFont val="Aptos Narrow"/>
        <family val="2"/>
        <scheme val="minor"/>
      </rPr>
      <t>sowohl ins Plus als auch ins Minus, NICHT der Gesamtweg</t>
    </r>
    <r>
      <rPr>
        <sz val="11"/>
        <color theme="1"/>
        <rFont val="Aptos Narrow"/>
        <family val="2"/>
        <scheme val="minor"/>
      </rPr>
      <t xml:space="preserve"> (das bedeutet wenn man 150mm Verfahrweg im TL hat, darf als maximaler Weg nur 75mm angegeben werden, nicht 150mm)</t>
    </r>
  </si>
  <si>
    <t>Effekt wird schneller oder langsamer und Beschleunigung wird ebenfalls verstärkt oder verringert.</t>
  </si>
  <si>
    <t>Effekt wird gefiltert oder ungefiltert (Störsignale verschwinden bei hohen Werten) Beachte: Der Noise Filter kann auch Störsignale entfernen ohne den Effekt abzuschwächen, kann also die bessere Wahl sein</t>
  </si>
  <si>
    <t>Smoothing glättet den Effekt - macht Ihn weicher, langsamer, entstört oder bei niedrigen Werten ruppiger, härter, schneller.</t>
  </si>
  <si>
    <t>Smoothing glättet den Effekt - macht Ihn weicher, langsamer, entstört oder bei niedrigen Werten ruppiger, härter, schneller. Beim Globalen Smoothing greift der Filter bei ALLEN Effekten Global, also werden alle Effekte gleichzeitg um den Wert gefiltert</t>
  </si>
  <si>
    <t>Enable Motion</t>
  </si>
  <si>
    <t>Plattform Config</t>
  </si>
  <si>
    <t>Manual Control</t>
  </si>
  <si>
    <t>Force unpark</t>
  </si>
  <si>
    <t>Suspend Motion</t>
  </si>
  <si>
    <t>Disabled (Online Status)</t>
  </si>
  <si>
    <t>Crash Protection</t>
  </si>
  <si>
    <t>Replay (Rechts oben)</t>
  </si>
  <si>
    <t>Record (Rechts oben)</t>
  </si>
  <si>
    <t>Surge</t>
  </si>
  <si>
    <t>Sway</t>
  </si>
  <si>
    <t>Details im unteren Bereich sind mir zu schwach</t>
  </si>
  <si>
    <t>Details im unteren Bereich sind mir zu stark / übertrieben</t>
  </si>
  <si>
    <t>Effekt bewegt sich in Situationen, wo ich das garnicht möchte (Unterer oder oberer Bereich)</t>
  </si>
  <si>
    <t>Es kommen zu wenig Details im Effekt an</t>
  </si>
  <si>
    <t>Es kommen übertriebene Details im Effekt an</t>
  </si>
  <si>
    <t>Beschleunigung</t>
  </si>
  <si>
    <t>Effekt ist zu lahm, beschleunigt zu langsam</t>
  </si>
  <si>
    <t>Effekt ist völlig übertrieben und hart, beschleunigt zu schnell</t>
  </si>
  <si>
    <t>Ich habe Störsignale im Effekt, die da nicht hin gehören</t>
  </si>
  <si>
    <t>Totzone</t>
  </si>
  <si>
    <t>Geschwindigkeit</t>
  </si>
  <si>
    <t>Clipping - Overflow - Effekt Überlagerung</t>
  </si>
  <si>
    <t>Telemetrie - Input Limit</t>
  </si>
  <si>
    <t>Störsignale - Zittern - unkontrolliertes wackeln</t>
  </si>
  <si>
    <t>Verfahr Richtung des Effektes läuft falsch rum</t>
  </si>
  <si>
    <t>Verfahr Richtung</t>
  </si>
  <si>
    <t>Effekt Funktioniert garnicht</t>
  </si>
  <si>
    <t>Aktivierung</t>
  </si>
  <si>
    <t>Unterstützung</t>
  </si>
  <si>
    <t>Main Platform</t>
  </si>
  <si>
    <t>Secondary Platform</t>
  </si>
  <si>
    <t>Global Motion</t>
  </si>
  <si>
    <t>Secondary Pitch</t>
  </si>
  <si>
    <t>Secondary Roll</t>
  </si>
  <si>
    <t>Secondary Surge to Pitch</t>
  </si>
  <si>
    <t>Secondary Sway to Roll</t>
  </si>
  <si>
    <t>Secondary Heave</t>
  </si>
  <si>
    <t>Secondary Rear Traction Loss to Roll</t>
  </si>
  <si>
    <t>Secondary Surge</t>
  </si>
  <si>
    <t>Pitch - Main Plattform</t>
  </si>
  <si>
    <t>Roll - Main Plattform</t>
  </si>
  <si>
    <t>Surge to Pitch - Main Plattform</t>
  </si>
  <si>
    <t>Sway to Roll - Main Plattform</t>
  </si>
  <si>
    <t>Heave - Main Plattform</t>
  </si>
  <si>
    <t>Rear Traction Loss to Roll - Main Plattform</t>
  </si>
  <si>
    <t>Yaw</t>
  </si>
  <si>
    <t>Global Traction Loss</t>
  </si>
  <si>
    <t>Traction Loss vorne</t>
  </si>
  <si>
    <t>Traction Loss hinten</t>
  </si>
  <si>
    <t>Global Haptics</t>
  </si>
  <si>
    <t>Suspensions - Haptic</t>
  </si>
  <si>
    <t>Traction Loss - Haptic</t>
  </si>
  <si>
    <t>Rumble strips - Haptic</t>
  </si>
  <si>
    <t>Engine vibration - Haptic</t>
  </si>
  <si>
    <t>Gear change - Haptic</t>
  </si>
  <si>
    <t>ABS trigger - Haptic</t>
  </si>
  <si>
    <t>Audio to haptics - Haptic</t>
  </si>
  <si>
    <t>Motion Gain</t>
  </si>
  <si>
    <t>Main Plattform Gain</t>
  </si>
  <si>
    <t>Secondary Plattform Gain</t>
  </si>
  <si>
    <t>Surge Gain</t>
  </si>
  <si>
    <t>Secondary Surge Gain</t>
  </si>
  <si>
    <t>Traction Loss Gain</t>
  </si>
  <si>
    <t>Haptics Effect Gain</t>
  </si>
  <si>
    <t>Motion Range</t>
  </si>
  <si>
    <t>Washout (Return to Center)</t>
  </si>
  <si>
    <t>Smoothing</t>
  </si>
  <si>
    <t>Enable adaptive Washout</t>
  </si>
  <si>
    <t>Effect scaling - Uniform scaling - Separate front and back pitch</t>
  </si>
  <si>
    <t>Soft Limiter - Dampening range</t>
  </si>
  <si>
    <t>Effect direction - Tilt forward when braking - Tilt backward when braking</t>
  </si>
  <si>
    <t>Effect scaling - Uniform scaling - Separate acceleration and decleration</t>
  </si>
  <si>
    <t>Effect enabled - disabled</t>
  </si>
  <si>
    <t>Effect direction - Lean outward when cornering - Lean inward when cornering</t>
  </si>
  <si>
    <t>Effect direction - Up acceleration goes up - Down acceleration goes up</t>
  </si>
  <si>
    <t>Source Algorythm - Traction loss angle - Lateral velocity</t>
  </si>
  <si>
    <t>Use turn rate at low speed - Turn rate sensibility</t>
  </si>
  <si>
    <t>Effect Speed Limiter - Enable effect axis speed limiter</t>
  </si>
  <si>
    <t>Effect speed limiter - Acivity range based speed reduction</t>
  </si>
  <si>
    <t>Synchronize filtering and input limit settings with Pitch</t>
  </si>
  <si>
    <t>Pitch - Secondary Pitch</t>
  </si>
  <si>
    <t>Synchronize filtering and input limit settings with Roll</t>
  </si>
  <si>
    <t>Synchronize filtering and input limit settings with Surge to pitch</t>
  </si>
  <si>
    <t>Secondary Surge to pitch</t>
  </si>
  <si>
    <t>Sway to roll - Secondary Sway to roll</t>
  </si>
  <si>
    <t>Synchronize filtering and input limit settings with Sway to Roll</t>
  </si>
  <si>
    <t>Secondary Sway to roll</t>
  </si>
  <si>
    <t>Heave - Secondary Heave</t>
  </si>
  <si>
    <t>Synchronize filtering and input limit settings with Heave</t>
  </si>
  <si>
    <t>Surge to Pitch - Secondary Surge to pitch  - Surge - Secondary Surge</t>
  </si>
  <si>
    <t>Front / rear bias (Center of rotation)</t>
  </si>
  <si>
    <t>Traction loss</t>
  </si>
  <si>
    <t>Rear Traction Loss to Roll - Secondary Rear Traction Loss to Roll - Traction Loss</t>
  </si>
  <si>
    <t>Effekte</t>
  </si>
  <si>
    <t>Record (Telemetrie)</t>
  </si>
  <si>
    <t>Effekt hat Clipping - Overflow - Überlagerung - wird abgeschnitten</t>
  </si>
  <si>
    <t>Alle Effekte sind zu schwach</t>
  </si>
  <si>
    <t>Alle Effekte sind viel zu heftig, zu stark</t>
  </si>
  <si>
    <t>Alle Effekte fahren zu langsam</t>
  </si>
  <si>
    <t>Alle Effekte fahren zu schnell</t>
  </si>
  <si>
    <t>Verteilung der Effekte zwischen vorne und hinten gefällt mir nicht (Balance TL Vorne und Hinten)</t>
  </si>
  <si>
    <t>Ich hätte gerne eine Totzone</t>
  </si>
  <si>
    <t>Alle Effekte sind irgendwie zu ruppig</t>
  </si>
  <si>
    <t>Alle Effekte sind mir zu gedämpft, zu ruhig, wie ausgebremst</t>
  </si>
  <si>
    <t>Der Verfahrweg in den Effekten ist mir zu wenig</t>
  </si>
  <si>
    <t>Der Verfahrweg in den Effekten ist mir zu viel</t>
  </si>
  <si>
    <t>Ich kenne die Werte aus den Effekten noch nicht, was dort an Telemetrie ankommt aus dem Spiel (Input)</t>
  </si>
  <si>
    <t>Die Effekte sind lahm, ich habe das Gefühl sie beschleunigen zu langsam</t>
  </si>
  <si>
    <t>Die Effekte sind übertrieben hart, ich habe das Gefühl sie beschleunigen zu schnell</t>
  </si>
  <si>
    <t>Die Effekte funktionieren garnicht</t>
  </si>
  <si>
    <t>Traction Loss ist mir zu schwach</t>
  </si>
  <si>
    <t>Traction Loss ist viel zu heftig, zu stark</t>
  </si>
  <si>
    <t>Traction Loss fährt zu langsam</t>
  </si>
  <si>
    <t>Traction Loss fährt zu schnell</t>
  </si>
  <si>
    <t>Traction Loss ist zu ruppig, zu hart</t>
  </si>
  <si>
    <t>Traction Loss ist zu gedämpft, zu ruhig, wie ausgebremst</t>
  </si>
  <si>
    <t>Der Verfahrweg im Traction Loss ist mir zu gering</t>
  </si>
  <si>
    <t>Der Verfahrweg im Traction Loss ist mir zu viel</t>
  </si>
  <si>
    <t>Das Traction Loss ist zu lahm, ich habe das Gefühl es beschleunigt zu langsam</t>
  </si>
  <si>
    <t>Das Traction Loss ist übertrieben hart, ich habe das Gefühl es beschleunigt zu schnell</t>
  </si>
  <si>
    <t>Traction Loss funktioniert nicht</t>
  </si>
  <si>
    <t>Ich kenne den Wert des Effektes nicht, was dort an Telemetrie ankommt aus dem Spiel (Input)</t>
  </si>
  <si>
    <t>Ich kenne den Wert aus dem Traction Loss noch nicht, was dort an Telemetrie ankommt aus dem Spiel (Input)</t>
  </si>
  <si>
    <t>Effekte überlagern sich - Clipping - Overflow</t>
  </si>
  <si>
    <t>Effekt viel zu ruppig (auch bei niedrigen Verfahrweg) - zu hart</t>
  </si>
  <si>
    <t>Effekt kommt mir vor wie eingeschlafen, viel zu "gedämpft", ausgebremst - zu weich</t>
  </si>
  <si>
    <t>Gain Faktor Rechner</t>
  </si>
  <si>
    <t>mittel</t>
  </si>
  <si>
    <t>groß</t>
  </si>
  <si>
    <t>gering</t>
  </si>
  <si>
    <t>Balance</t>
  </si>
  <si>
    <t>Begriffe</t>
  </si>
  <si>
    <t>Symptome</t>
  </si>
  <si>
    <t>Faktoren</t>
  </si>
  <si>
    <t>Funktionen</t>
  </si>
  <si>
    <r>
      <t>Effect direction – Lean outward when cornering / Lean inward when cornering</t>
    </r>
    <r>
      <rPr>
        <sz val="11"/>
        <color theme="1"/>
        <rFont val="Aptos Narrow"/>
        <family val="2"/>
        <scheme val="minor"/>
      </rPr>
      <t xml:space="preserve"> bestimmt die Richtung, in die sich die Motion‑Plattform während einer Kurvenfahrt neigt. Die Funktion legt fest, ob das Rig sich nach außen oder nach innen der Kurve lehnt, basierend auf der seitlichen Beschleunigung (Lateral G‑Force) aus der Telemetrie. „Lean outward“ simuliert das physikalische Gefühl, dass der Körper bei Kurvenfahrt nach außen gedrückt wird, während „Lean inward“ das Verhalten eines Motorrads oder eines Fahrzeugs mit aktivem Wankausgleich nachbildet, bei dem sich das System in die Kurve hineinlegt. Diese Einstellung beeinflusst ausschließlich die Bewegungsrichtung des Effekts, nicht dessen Stärke oder Geschwindigkeit, und dient dazu, das gewünschte physische Feedback‑Modell für unterschiedliche Fahrzeugtypen oder persönliche Präferenzen zu erzeugen.</t>
    </r>
  </si>
  <si>
    <t>Effect direction - Lean outward when cornering - Lean inward when cornering (im Sway Effekt)</t>
  </si>
  <si>
    <r>
      <t>Effect direction – Tilt forward when braking / Tilt backward when braking</t>
    </r>
    <r>
      <rPr>
        <sz val="11"/>
        <color theme="1"/>
        <rFont val="Aptos Narrow"/>
        <family val="2"/>
        <scheme val="minor"/>
      </rPr>
      <t xml:space="preserve"> steuert die Bewegungsrichtung des Surge‑to‑Pitch‑Effekts, indem festgelegt wird, ob sich die Motion‑Plattform beim Bremsen nach vorne oder nach hinten neigt. Die Funktion wandelt die Längsbeschleunigung (Longitudinal G‑Force) aus der Telemetrie in eine Pitch‑Bewegung um und bestimmt ausschließlich die Richtung dieser Neigung. „Tilt forward when braking“ simuliert das typische Nickverhalten eines Fahrzeugs, bei dem sich die Front beim Bremsen absenkt, während „Tilt backward when braking“ ein invertiertes Verhalten erzeugt, das für spezielle Setups oder alternative Simulationsstile genutzt wird. Die Einstellung beeinflusst nicht die Stärke, Geschwindigkeit oder Glättung des Effekts, sondern definiert lediglich, ob die Plattform beim Bremsen nach vorne oder nach hinten kippt, um das gewünschte physische Feedback‑Modell zu erzeugen.</t>
    </r>
  </si>
  <si>
    <r>
      <t>Effect direction – Up acceleration goes up / Down acceleration goes up</t>
    </r>
    <r>
      <rPr>
        <sz val="11"/>
        <color theme="1"/>
        <rFont val="Aptos Narrow"/>
        <family val="2"/>
        <scheme val="minor"/>
      </rPr>
      <t xml:space="preserve"> legt fest, wie der Heave‑Effekt auf vertikale Beschleunigungen aus der Telemetrie reagiert und in welche Richtung die Plattform sich bei positiven oder negativen Heave‑Signalen bewegt. Die Funktion bestimmt ausschließlich die Bewegungsrichtung, nicht die Stärke oder Geschwindigkeit. „Up acceleration goes up“ bedeutet, dass positive vertikale Beschleunigung (z. B. wenn das Fahrzeug über eine Bodenwelle nach oben gedrückt wird) die Plattform ebenfalls nach oben bewegt, während negative Beschleunigung die Plattform nach unten bewegt. „Down acceleration goes up“ invertiert dieses Verhalten, sodass negative vertikale Beschleunigung eine Aufwärtsbewegung erzeugt und positive Beschleunigung eine Abwärtsbewegung. Diese Einstellung dient dazu, das gewünschte physische Feedback‑Modell zu erzeugen, abhängig davon, ob der Nutzer eine realistische Fahrzeugbewegung oder eine invertierte Darstellung bevorzugt, wie sie in bestimmten Sim‑Setups oder Spezialanwendungen genutzt wird.</t>
    </r>
  </si>
  <si>
    <r>
      <t>Effect enabled / disabled</t>
    </r>
    <r>
      <rPr>
        <sz val="11"/>
        <color theme="1"/>
        <rFont val="Aptos Narrow"/>
        <family val="2"/>
        <scheme val="minor"/>
      </rPr>
      <t xml:space="preserve"> ist der grundlegende Ein‑ und Ausschalter eines Motion‑Effekts in SimHub und bestimmt, ob der jeweilige Effekt überhaupt aktiv verarbeitet und an die Motion‑Hardware ausgegeben wird. Wenn der Effekt auf „enabled“ steht, wird die zugehörige Telemetrie ausgewertet, der Effekt berechnet und an das Rig übertragen. Steht er auf „disabled“, wird der Effekt vollständig ignoriert, erzeugt keinerlei Bewegung und hat keinen Einfluss auf andere Effekte oder die Gesamtberechnung. Dieser Schalter dient dazu, einzelne Effekte gezielt zu aktivieren oder auszuschalten, ohne andere Einstellungen zu verändern, und ermöglicht eine schnelle Kontrolle darüber, welche Bewegungsarten im Rig aktiv genutzt werden sollen.</t>
    </r>
  </si>
  <si>
    <r>
      <t>Effect scaling – Uniform scaling / Separate acceleration and deceleration</t>
    </r>
    <r>
      <rPr>
        <sz val="11"/>
        <color theme="1"/>
        <rFont val="Aptos Narrow"/>
        <family val="2"/>
        <scheme val="minor"/>
      </rPr>
      <t xml:space="preserve"> bestimmt, wie der Surge‑Effekt die Längsbeschleunigung eines Fahrzeugs skaliert und in Bewegungen umsetzt. Bei „Uniform scaling“ werden positive und negative Beschleunigungen gleichermaßen mit demselben Skalierungsfaktor verarbeitet, sodass Beschleunigen und Bremsen identisch verstärkt oder abgeschwächt werden. „Separate acceleration and deceleration“ trennt diese beiden Signalrichtungen, wodurch unterschiedliche Skalierungsfaktoren für Beschleunigung und Verzögerung genutzt werden können. Dadurch lässt sich beispielsweise ein stärkeres Brems‑Nickverhalten erzeugen, während die Beschleunigungsbewegung sanfter bleibt, oder umgekehrt. Diese Funktion beeinflusst ausschließlich die Art und Weise, wie die Telemetrie skaliert wird, bevor sie in Bewegung umgesetzt wird, und ermöglicht eine präzise Anpassung des Verhaltens des Surge‑Effekts an Fahrzeugtyp, Simulationsstil oder persönliche Präferenzen.</t>
    </r>
  </si>
  <si>
    <t>Effect scaling - Uniform scaling - Separate acceleration and decleration (Surge)</t>
  </si>
  <si>
    <r>
      <t>Effect scaling – Uniform scaling / Separate acceleration and deceleration</t>
    </r>
    <r>
      <rPr>
        <sz val="11"/>
        <color theme="1"/>
        <rFont val="Aptos Narrow"/>
        <family val="2"/>
        <scheme val="minor"/>
      </rPr>
      <t xml:space="preserve"> legt fest, ob der Surge‑Effekt Beschleunigungs‑ und Verzögerungssignale gemeinsam oder getrennt verarbeitet. Bei „Uniform scaling“ werden beide Signalrichtungen als ein zusammengehöriger Effekt behandelt, sodass alle Einstellungen wie Stärke, Limits oder Filter identisch auf Beschleunigen und Bremsen angewendet werden. Bei „Separate acceleration and deceleration“ werden die beiden Signalrichtungen voneinander getrennt, sodass SimHub intern zwei unabhängige Signalpfade erzeugt: einen für positive Längsbeschleunigung und einen für negative Längsbeschleunigung. Dadurch können unterschiedliche Einstellungen für Gas und Bremse verwendet werden, ohne dass die Signale sich gegenseitig beeinflussen. Die Option selbst verändert keine Werte, verstärkt nichts und skaliert nichts, sondern entscheidet ausschließlich darüber, ob beide Richtungen gemeinsam oder getrennt verarbeitet werden, was die Struktur des Effekts beeinflusst, nicht dessen Intensität.</t>
    </r>
  </si>
  <si>
    <r>
      <t>Effect scaling – Uniform scaling / Separate front and back pitch</t>
    </r>
    <r>
      <rPr>
        <sz val="11"/>
        <color theme="1"/>
        <rFont val="Aptos Narrow"/>
        <family val="2"/>
        <scheme val="minor"/>
      </rPr>
      <t xml:space="preserve"> legt fest, ob der Pitch‑Effekt die Nickbewegung des Fahrzeugs als ein gemeinsames Signal verarbeitet oder ob die vordere und hintere Fahrzeugbewegung getrennt behandelt werden. Bei „Uniform scaling“ wird die gesamte Pitch‑Telemetrie als ein einziger Effektpfad genutzt, sodass alle Einstellungen wie Stärke, Limits oder Filter gleichermaßen auf die Nickbewegung wirken, unabhängig davon, ob die Bewegung durch die Vorderachse oder die Hinterachse verursacht wird. Bei „Separate front and back pitch“ trennt SimHub die Pitch‑Telemetrie in zwei unabhängige Signalpfade, wodurch Bewegungen der Vorderachse und der Hinterachse getrennt verarbeitet werden können. Dies ermöglicht eine differenziertere Darstellung, etwa wenn ein Fahrzeug beim Bremsen stärker vorne eintaucht oder beim Beschleunigen stärker hinten absinkt. Die Option selbst verändert keine Werte, verstärkt nichts und skaliert nichts, sondern entscheidet ausschließlich darüber, ob Pitch als ein gemeinsames Signal oder als zwei getrennte Achsbewegungen verarbeitet wird, was die Struktur und Flexibilität des Effekts beeinflusst.</t>
    </r>
  </si>
  <si>
    <r>
      <t>Effect speed limiter – Activity range based speed reduction</t>
    </r>
    <r>
      <rPr>
        <sz val="11"/>
        <color theme="1"/>
        <rFont val="Aptos Narrow"/>
        <family val="2"/>
        <scheme val="minor"/>
      </rPr>
      <t xml:space="preserve"> reduziert die maximale Bewegungsgeschwindigkeit des Traction‑Loss‑Effekts abhängig davon, wie weit sich die Plattform aktuell innerhalb ihres verfügbaren Bewegungsbereichs befindet. Je näher der Effekt an die mechanischen Endanschläge oder an die definierten Grenzbereiche kommt, desto stärker wird die Geschwindigkeit automatisch reduziert, um harte Anschläge, Überlastungen oder unkontrollierte Bewegungen zu vermeiden. Diese Funktion wirkt wie eine dynamische Geschwindigkeitsbremse, die nur dann eingreift, wenn der Effekt sich in kritischen Bereichen des Verfahrwegs befindet, während er im mittleren Bereich weiterhin mit voller Geschwindigkeit arbeiten kann. Dadurch wird die Bewegung sanfter, sicherer und mechanisch schonender, ohne die eigentliche Intensität oder Telemetrie des Effekts zu verändern.</t>
    </r>
  </si>
  <si>
    <r>
      <t>Enable effect axis speed limiter</t>
    </r>
    <r>
      <rPr>
        <sz val="11"/>
        <color theme="1"/>
        <rFont val="Aptos Narrow"/>
        <family val="2"/>
        <scheme val="minor"/>
      </rPr>
      <t xml:space="preserve"> aktiviert oder deaktiviert die Geschwindigkeitsbegrenzung für die Bewegungsachse des Traction‑Loss‑Effekts. Wenn diese Option aktiviert ist, überwacht SimHub kontinuierlich die aktuelle Position der Achse und begrenzt automatisch die maximale Bewegungsgeschwindigkeit, sobald sich die Plattform in Bereichen befindet, in denen schnelle Bewegungen mechanisch kritisch, unsicher oder potenziell schädlich wären. Dadurch wird verhindert, dass der Traction‑Loss‑Effekt zu schnell in Richtung seiner Endanschläge fährt oder abrupte Bewegungen erzeugt, die das Rig belasten oder das Fahrerlebnis beeinträchtigen könnten. Ist die Option deaktiviert, arbeitet der Effekt ohne diese Schutzbegrenzung und nutzt die volle Geschwindigkeit unabhängig von der Position im Bewegungsbereich. Die Funktion verändert keine Telemetrie, keine Stärke und keine Richtung, sondern steuert ausschließlich, ob die Achsbewegung durch einen Sicherheits‑Geschwindigkeitsbegrenzer geschützt wird.</t>
    </r>
  </si>
  <si>
    <r>
      <t>Effect Tuner</t>
    </r>
    <r>
      <rPr>
        <sz val="11"/>
        <color theme="1"/>
        <rFont val="Aptos Narrow"/>
        <family val="2"/>
        <scheme val="minor"/>
      </rPr>
      <t xml:space="preserve"> ist ein integriertes Analysewerkzeug in SimHub, das während der Fahrt automatisch die Telemetrie eines ausgewählten Motion‑Effekts aufzeichnet und anschließend eine detaillierte grafische Darstellung dieser Daten ermöglicht. Es zeigt rückwirkend, wie stark der Effekt ausgelöst wurde, wie sich die Telemetrie über die Zeit verändert hat, ob Limits erreicht wurden, ob Glättung oder Filter wirken und wie der Effekt im Verhältnis zur tatsächlichen Fahrzeugbewegung reagiert hat. Der Effect Tuner dient ausschließlich der Analyse und Optimierung und verändert selbst keine Einstellungen; er ermöglicht es dem Nutzer, die Funktionsweise eines Effekts präzise zu verstehen, Engpässe oder Übersteuerungen zu erkennen und die Parameter des Effekts auf Basis realer Telemetriedaten gezielt zu verbessern.</t>
    </r>
  </si>
  <si>
    <r>
      <t>Effect Gain</t>
    </r>
    <r>
      <rPr>
        <sz val="11"/>
        <color theme="1"/>
        <rFont val="Aptos Narrow"/>
        <family val="2"/>
        <scheme val="minor"/>
      </rPr>
      <t xml:space="preserve"> bestimmt, wie stark der Telemetrie‑Output eines Effekts verstärkt oder abgeschwächt wird, bevor er an die Motion‑Achsen weitergegeben wird. Der Gain‑Wert wirkt wie ein Multiplikator auf das Rohsignal des Effekts und beeinflusst damit direkt die Intensität der erzeugten Bewegung. Ein höherer Gain verstärkt die Wirkung des Effekts, sodass die Achse weiter oder kräftiger ausschlägt, während ein niedrigerer Gain die Bewegung entsprechend reduziert. Gain verändert nicht die Telemetrie selbst, sondern nur deren Auswirkung auf die Achsenbewegung. Dadurch lässt sich die gefühlte Stärke eines Effekts unabhängig von anderen Parametern wie Geschwindigkeit, Glättung oder Input‑Limit präzise anpassen.</t>
    </r>
  </si>
  <si>
    <r>
      <t>Enable adaptive washout</t>
    </r>
    <r>
      <rPr>
        <sz val="11"/>
        <color theme="1"/>
        <rFont val="Aptos Narrow"/>
        <family val="2"/>
        <scheme val="minor"/>
      </rPr>
      <t xml:space="preserve"> aktiviert einen dynamischen Filtermechanismus, der den Effekt automatisch anpasst, um die Plattform kontinuierlich in ihren neutralen Mittelbereich zurückzuführen, ohne dass die Bewegung abrupt oder künstlich wirkt. Der adaptive Washout analysiert die aktuelle Achsposition und die Telemetrie in Echtzeit und entscheidet, wie stark und wie schnell der Effekt ausgewaschen werden muss, um langfristige Drift zu verhindern und den Verfahrweg optimal zu nutzen. Im Gegensatz zu einem statischen Washout arbeitet der adaptive Washout nicht mit festen Rückstellwerten, sondern passt seine Wirkung abhängig von Signalstärke, Bewegungsrichtung und Achsposition an. Dadurch bleibt der Effekt natürlicher, verhindert Übersteuerung, reduziert Drift und sorgt dafür, dass die Achse auch bei langanhaltenden Telemetrie‑Signalen nicht an mechanische Grenzen fährt.</t>
    </r>
  </si>
  <si>
    <t>Enable adaptive Washout - eher nur für Flugsims geeignet</t>
  </si>
  <si>
    <r>
      <t>Front / Rear Bias (Center of Rotation)</t>
    </r>
    <r>
      <rPr>
        <sz val="11"/>
        <color theme="1"/>
        <rFont val="Aptos Narrow"/>
        <family val="2"/>
        <scheme val="minor"/>
      </rPr>
      <t xml:space="preserve"> legt fest, an welchem Punkt des Fahrzeugs der Traction‑Loss‑Effekt seine Rotationsbewegung ausrichtet. Der Parameter verschiebt den virtuellen Drehpunkt des Fahrzeugs nach vorne oder hinten, wodurch sich verändert, wie stark die Plattform bei einem Heckausbruch oder Gripverlust seitlich ausschwenkt. Ein weiter vorne liegender Drehpunkt erzeugt größere Ausschläge am Heck und vermittelt ein stärkeres Gefühl von Übersteuern, während ein weiter hinten liegender Drehpunkt die Bewegung kompakter und weniger ausgeprägt macht. Die Funktion verändert ausschließlich die geometrische Bezugslage der Rotation, nicht die Telemetrie selbst, und beeinflusst damit, wie der Effekt räumlich umgesetzt wird und wie realistisch sich das Fahrzeugverhalten anfühlt.</t>
    </r>
  </si>
  <si>
    <r>
      <t>Global Motion Smoothing</t>
    </r>
    <r>
      <rPr>
        <sz val="11"/>
        <color theme="1"/>
        <rFont val="Aptos Narrow"/>
        <family val="2"/>
        <scheme val="minor"/>
      </rPr>
      <t xml:space="preserve"> ist ein übergeordneter Filter, der auf </t>
    </r>
    <r>
      <rPr>
        <i/>
        <sz val="11"/>
        <color theme="1"/>
        <rFont val="Aptos Narrow"/>
        <family val="2"/>
        <scheme val="minor"/>
      </rPr>
      <t>alle</t>
    </r>
    <r>
      <rPr>
        <sz val="11"/>
        <color theme="1"/>
        <rFont val="Aptos Narrow"/>
        <family val="2"/>
        <scheme val="minor"/>
      </rPr>
      <t xml:space="preserve"> Motion‑Effekte gleichzeitig angewendet wird und schnelle, abrupte oder hochfrequente Bewegungsänderungen glättet. Der Filter reduziert die Rate, mit der sich die Zielpositionen der Achsen ändern dürfen, wodurch Bewegungen weicher, gleichmäßiger und mechanisch schonender werden. Er verändert nicht die Telemetrie selbst, sondern begrenzt, wie schnell die Achsen auf Änderungen reagieren. Dadurch werden harte Richtungswechsel, Zucken, Ruckeln oder plötzliche Peaks reduziert, während der grundlegende Charakter der Effekte erhalten bleibt. Global Motion Smoothing wirkt immer systemweit und überschreibt lokale Glättungsparameter einzelner Effekte nicht, sondern ergänzt sie.</t>
    </r>
  </si>
  <si>
    <r>
      <t>Haptics Effect Gain</t>
    </r>
    <r>
      <rPr>
        <sz val="11"/>
        <color theme="1"/>
        <rFont val="Aptos Narrow"/>
        <family val="2"/>
        <scheme val="minor"/>
      </rPr>
      <t xml:space="preserve"> ist ein Verstärkungsfaktor, der die Intensität eines einzelnen Haptik‑Effekts multipliziert, bevor er an den Transducer ausgegeben wird. Der Gain‑Wert bestimmt, wie stark der Effekt fühlbar ist, indem er das Rohsignal des Effekts verstärkt oder abschwächt, ohne dessen Form, Frequenz oder zeitlichen Verlauf zu verändern. Ein höherer Gain erzeugt kräftigere Vibrationen und stärkere Impulse, während ein niedrigerer Gain die Wirkung reduziert. Der Parameter beeinflusst ausschließlich die Stärke des Effekts, nicht dessen Frequenzspektrum, Geschwindigkeit oder Detailtiefe, und dient dazu, die relative Gewichtung einzelner Haptik‑Effekte im Gesamtsystem präzise abzustimmen.</t>
    </r>
  </si>
  <si>
    <r>
      <t>Haptics Gain</t>
    </r>
    <r>
      <rPr>
        <sz val="11"/>
        <color theme="1"/>
        <rFont val="Aptos Narrow"/>
        <family val="2"/>
        <scheme val="minor"/>
      </rPr>
      <t xml:space="preserve"> ist der globale Verstärkungsfaktor für das gesamte Haptik‑System und multipliziert die Intensität aller Haptik‑Effekte gleichzeitig, bevor sie an die Transducer ausgegeben werden. Der Parameter wirkt wie ein Master‑Gain und bestimmt die Gesamtstärke der Vibrationen, Impulse und Resonanzen, ohne die Frequenz, die Signalform oder die zeitliche Struktur der Effekte zu verändern. Ein höherer Gain verstärkt sämtliche Haptik‑Signale proportional, während ein niedrigerer Gain das gesamte Haptik‑System abschwächt. Haptics Gain dient dazu, die Gesamtwirkung der Haptik an die Leistung der Transducer, die Montageart und die gewünschte Intensität anzupassen, ohne die einzelnen Effekte separat konfigurieren zu müssen.</t>
    </r>
  </si>
  <si>
    <r>
      <t>Input Limit</t>
    </r>
    <r>
      <rPr>
        <sz val="11"/>
        <color theme="1"/>
        <rFont val="Aptos Narrow"/>
        <family val="2"/>
        <scheme val="minor"/>
      </rPr>
      <t xml:space="preserve"> begrenzt die maximale Stärke des Telemetrie‑Signals, das ein Effekt an die Achsen weitergeben darf. Der Parameter wirkt wie ein Deckel auf dem Rohsignal: Werte oberhalb des eingestellten Limits werden abgeschnitten oder komprimiert, sodass der Effekt nicht mehr seine volle Intensität an die Achsen übertragen kann. Dadurch wird verhindert, dass extreme Telemetrie‑Spitzen zu übermäßigen Ausschlägen, Clipping oder mechanischer Überlastung führen. Ein niedrigeres Input Limit reduziert die maximale Wirkung des Effekts und macht ihn kontrollierbarer, während ein höheres Limit mehr Dynamik und stärkere Ausschläge zulässt. Input Limit verändert nicht die Form oder Geschwindigkeit des Signals, sondern ausschließlich dessen maximal zulässige Amplitude.</t>
    </r>
  </si>
  <si>
    <r>
      <t>Main Platform Gain</t>
    </r>
    <r>
      <rPr>
        <sz val="11"/>
        <color theme="1"/>
        <rFont val="Aptos Narrow"/>
        <family val="2"/>
        <scheme val="minor"/>
      </rPr>
      <t xml:space="preserve"> ist der globale Verstärkungsfaktor für alle Motion‑Effekte, die auf die Hauptplattform wirken. Der Parameter multipliziert die Gesamtintensität sämtlicher Achsbewegungen, bevor sie an die Motoren ausgegeben werden, und bestimmt damit die grundlegende Stärke des gesamten Motion‑Systems. Ein höherer Wert verstärkt alle Effekte proportional, während ein niedrigerer Wert die gesamte Plattformbewegung abschwächt. Main Platform Gain verändert nicht die Telemetrie, die Signalform oder die Effektprioritäten, sondern ausschließlich die Gesamtamplitude der Bewegungen. Er dient dazu, das Motion‑Rig an die mechanische Leistungsfähigkeit, den verfügbaren Verfahrweg und die gewünschte Intensität anzupassen, ohne jeden Effekt einzeln konfigurieren zu müssen.</t>
    </r>
  </si>
  <si>
    <r>
      <t>Motion Gain</t>
    </r>
    <r>
      <rPr>
        <sz val="11"/>
        <color theme="1"/>
        <rFont val="Aptos Narrow"/>
        <family val="2"/>
        <scheme val="minor"/>
      </rPr>
      <t xml:space="preserve"> ist der globale Verstärkungsfaktor für alle Motion‑Effekte im gesamten System. Der Parameter multipliziert die Intensität sämtlicher Bewegungen, die an die Achsen ausgegeben werden, unabhängig davon, aus welchem Effekt sie stammen. Motion Gain wirkt wie ein Master‑Gain für das komplette Motion‑Rig und bestimmt die Gesamtstärke aller Plattformbewegungen. Ein höherer Wert verstärkt alle Achsenbewegungen proportional, während ein niedrigerer Wert das gesamte Motion‑System abschwächt. Motion Gain verändert nicht die Telemetrie, die Signalform oder die Priorität einzelner Effekte, sondern ausschließlich die Gesamtamplitude der Bewegungen. Er dient dazu, das Rig an die mechanische Leistungsfähigkeit, den verfügbaren Verfahrweg und die gewünschte Intensität anzupassen, ohne jeden Effekt einzeln konfigurieren zu müssen.</t>
    </r>
  </si>
  <si>
    <r>
      <t>Motion Range</t>
    </r>
    <r>
      <rPr>
        <sz val="11"/>
        <color theme="1"/>
        <rFont val="Aptos Narrow"/>
        <family val="2"/>
        <scheme val="minor"/>
      </rPr>
      <t xml:space="preserve"> legt fest, wie viel Prozent des verfügbaren Achswegs für die Ausgabe eines Effekts genutzt werden dürfen. Der Parameter skaliert die maximale Plattformbewegung, indem er den nutzbaren Verfahrweg begrenzt oder erweitert, ohne die Telemetrie oder die Signalform zu verändern. Ein höherer Motion Range‑Wert erlaubt größere Ausschläge und damit stärkere Bewegungen, während ein niedrigerer Wert die Achsenbewegung auf einen kleineren Bereich beschränkt. Motion Range beeinflusst direkt die maximale Auslenkung, die Geschwindigkeit und die wahrgenommene Intensität der Bewegungen, wirkt jedoch nicht auf die Aktivierung, Richtung oder Glättung der Effekte. Der Parameter dient dazu, das Motion‑Rig an mechanische Grenzen, Komfortgrenzen oder gewünschte Intensitätsniveaus anzupassen.</t>
    </r>
  </si>
  <si>
    <r>
      <t>Washout (Return to Center)</t>
    </r>
    <r>
      <rPr>
        <sz val="11"/>
        <color theme="1"/>
        <rFont val="Aptos Narrow"/>
        <family val="2"/>
        <scheme val="minor"/>
      </rPr>
      <t xml:space="preserve"> ist ein Rückführungsmechanismus, der die Plattform nach einer Bewegung kontrolliert und automatisch wieder in ihre neutrale Mittelposition zurückführt. Der Parameter wirkt wie ein langsamer, stetiger Gegenimpuls, der verhindert, dass sich die Plattform über längere Zeit in eine Richtung aufschaukelt oder aus dem verfügbaren Verfahrweg herausläuft. Washout verändert nicht die Telemetrie selbst, sondern fügt einen stabilisierenden Rückstellanteil hinzu, der die Achsen sanft in die Ausgangsposition zieht, sobald der eigentliche Effekt nachlässt. Ein stärkerer Washout‑Wert führt zu schnellerer und deutlicherer Rückführung, während ein schwächerer Wert die Plattform länger in der ausgelenkten Position belässt. Der Parameter dient dazu, Drift zu verhindern, den Verfahrweg zu schützen und die Plattform für kommende Effekte vorzubereiten.</t>
    </r>
  </si>
  <si>
    <r>
      <t>Use Turn Rate at Low Speed</t>
    </r>
    <r>
      <rPr>
        <sz val="11"/>
        <color theme="1"/>
        <rFont val="Aptos Narrow"/>
        <family val="2"/>
        <scheme val="minor"/>
      </rPr>
      <t xml:space="preserve"> aktiviert im Traction‑Loss‑Effekt eine alternative Berechnung, die bei niedrigen Geschwindigkeiten nicht mehr auf die Fahrzeuggeschwindigkeit oder den tatsächlichen Heckschlupf reagiert, sondern auf die Lenkrad‑Einschlagrate (Turn Rate). Dadurch erzeugt das Motion‑System auch bei sehr langsamer Fahrt oder im Stand eine seitliche Plattformbewegung, die das Einlenken des Fahrzeugs simuliert. Der Parameter verhindert, dass Traction Loss bei niedriger Geschwindigkeit „tot“ wirkt, und koppelt die Plattformbewegung stärker an die Lenkbewegung, um Manöver wie Rangieren, Haarnadelkurven oder enge Boxengassen realistischer darzustellen.</t>
    </r>
  </si>
  <si>
    <r>
      <t>Traction Loss Gain</t>
    </r>
    <r>
      <rPr>
        <sz val="11"/>
        <color theme="1"/>
        <rFont val="Aptos Narrow"/>
        <family val="2"/>
        <scheme val="minor"/>
      </rPr>
      <t xml:space="preserve"> verstärkt die Intensität der seitlichen Auslenkung, die durch den Traction‑Loss‑Effekt erzeugt wird. Der Parameter multipliziert die Stärke der Bewegung, die entsteht, wenn das Heck des Fahrzeugs ausbricht oder seitlich wegrutscht. Ein höherer Gain führt zu größeren, deutlicheren seitlichen Plattformbewegungen, während ein niedrigerer Gain die Wirkung reduziert. Traction Loss Gain verändert nicht die Telemetrie selbst, sondern ausschließlich die Amplitude der daraus resultierenden Bewegung. Der Parameter dient dazu, die Wahrnehmung von Übersteuern, Drifts, Lastwechselreaktionen und Heckinstabilität an die mechanischen Möglichkeiten des Rigs und die gewünschte Intensität anzupassen.</t>
    </r>
  </si>
  <si>
    <r>
      <t>Synchronize filtering and input limit settings with Sway to Roll</t>
    </r>
    <r>
      <rPr>
        <sz val="11"/>
        <color theme="1"/>
        <rFont val="Aptos Narrow"/>
        <family val="2"/>
        <scheme val="minor"/>
      </rPr>
      <t xml:space="preserve"> koppelt die Filter‑ und Input‑Limit‑Einstellungen des Roll‑Effekts mit denen des Sway‑Effekts. Wenn diese Option aktiviert ist, übernimmt der Roll‑Effekt automatisch dieselben Smoothing‑, Filtering‑ und Input‑Limit‑Parameter wie der Sway‑Effekt, sodass beide Effekte identisch gefiltert und begrenzt werden. Dadurch bewegen sich Roll und Sway konsistenter, ohne unterschiedliche Verzögerungen, Glättungen oder Limitierungen, die sonst zu unnatürlichen oder asynchronen Bewegungen führen könnten. Die Option verändert keine Telemetrie und keine Effektstärke, sondern sorgt ausschließlich dafür, dass beide Effekte dieselbe Signalverarbeitung nutzen</t>
    </r>
  </si>
  <si>
    <r>
      <t>Synchronize filtering and input limit settings with Surge to Pitch</t>
    </r>
    <r>
      <rPr>
        <sz val="11"/>
        <color theme="1"/>
        <rFont val="Aptos Narrow"/>
        <family val="2"/>
        <scheme val="minor"/>
      </rPr>
      <t xml:space="preserve"> koppelt die Filter‑ und Input‑Limit‑Einstellungen des Pitch‑Effekts mit denen des Surge‑Effekts. Wenn diese Option aktiviert ist, übernimmt der Pitch‑Effekt automatisch dieselben Smoothing‑, Filtering‑ und Input‑Limit‑Parameter wie Surge. Dadurch reagieren beide Effekte mit identischer Verzögerung, identischer Glättung und identischen Begrenzungen. Das verhindert asynchrone Bewegungen, bei denen Surge schnell reagiert, Pitch aber verzögert — oder umgekehrt. Die Option verändert keine Telemetrie und keine Effektstärke, sondern sorgt ausschließlich dafür, dass Surge und Pitch dieselbe Signalverarbeitung nutzen, um ein physikalisch konsistentes Zusammenspiel zu erzeugen.</t>
    </r>
  </si>
  <si>
    <r>
      <t>Synchronize filtering and input limit settings with Roll</t>
    </r>
    <r>
      <rPr>
        <sz val="11"/>
        <color theme="1"/>
        <rFont val="Aptos Narrow"/>
        <family val="2"/>
        <scheme val="minor"/>
      </rPr>
      <t xml:space="preserve"> sorgt dafür, dass andere Effekte, die Roll als Referenz nutzen (z. B. Sway‑to‑Roll oder Surge‑to‑Pitch‑Kopplungen), automatisch dieselben Filter‑, Smoothing‑ und Input‑Limit‑Einstellungen übernehmen wie der Roll‑Effekt selbst. Dadurch wird sichergestellt, dass alle Effekte, die Roll‑Bewegungen erzeugen oder ergänzen, mit identischer Verzögerung, identischer Glättung und identischen Begrenzungen arbeiten. Die Option verändert keine Telemetrie und keine Effektstärke, sondern stellt sicher, dass Roll‑basierte Bewegungen konsistent und synchron verarbeitet werden, um asynchrone oder unnatürliche Bewegungen zu vermeiden.</t>
    </r>
  </si>
  <si>
    <r>
      <t>Synchronize filtering and input limit settings with Pitch</t>
    </r>
    <r>
      <rPr>
        <sz val="11"/>
        <color theme="1"/>
        <rFont val="Aptos Narrow"/>
        <family val="2"/>
        <scheme val="minor"/>
      </rPr>
      <t xml:space="preserve"> sorgt dafür, dass andere Effekte, die Pitch als Referenz nutzen (z. B. Surge‑to‑Pitch‑Sekundäreffekte), automatisch dieselben Filter‑, Smoothing‑ und Input‑Limit‑Einstellungen übernehmen wie der Pitch‑Primäreffekt. Dadurch reagieren alle Pitch‑basierten Bewegungen mit identischer Verzögerung, identischer Glättung und identischen Begrenzungen. Die Option verändert keine Telemetrie und keine Effektstärke, sondern stellt sicher, dass Pitch‑abhängige Bewegungen konsistent und synchron verarbeitet werden, um asynchrone oder unnatürliche Bewegungen zu vermeiden.</t>
    </r>
  </si>
  <si>
    <r>
      <t>Synchronize filtering and input limit settings with Heave</t>
    </r>
    <r>
      <rPr>
        <sz val="11"/>
        <color theme="1"/>
        <rFont val="Aptos Narrow"/>
        <family val="2"/>
        <scheme val="minor"/>
      </rPr>
      <t xml:space="preserve"> sorgt dafür, dass alle Effekte, die Heave ergänzen oder darauf aufbauen (z. B. Suspension‑Erweiterungen, Road‑Vibrations‑Sekundäreffekte oder kombinierte Vertikalbewegungen), automatisch dieselben Filter‑, Smoothing‑ und Input‑Limit‑Einstellungen übernehmen wie der Heave‑Primäreffekt. Dadurch reagieren alle Heave‑basierten Bewegungen mit identischer Verzögerung, identischer Glättung und identischen Begrenzungen. Die Option verändert keine Telemetrie und keine Effektstärke, sondern stellt sicher, dass vertikale Bewegungen konsistent und synchron verarbeitet werden, um asynchrone oder unnatürliche Bewegungen zu vermeiden.</t>
    </r>
  </si>
  <si>
    <r>
      <t>Surge Gain</t>
    </r>
    <r>
      <rPr>
        <sz val="11"/>
        <color theme="1"/>
        <rFont val="Aptos Narrow"/>
        <family val="2"/>
        <scheme val="minor"/>
      </rPr>
      <t xml:space="preserve"> verstärkt die Intensität der Längsbewegung, die durch den Surge‑Effekt erzeugt wird. Der Parameter multipliziert die Stärke der Plattformbewegung, die aus Beschleunigung, Bremsen und Lastwechseln resultiert. Ein höherer Gain führt zu größeren Vor‑ und Zurückbewegungen der Plattform, während ein niedrigerer Gain die Wirkung reduziert. Surge Gain verändert nicht die Telemetrie selbst, sondern ausschließlich die Amplitude der daraus resultierenden Bewegung. Der Parameter dient dazu, die Wahrnehmung von Bremskraft, Beschleunigung und Fahrzeugdynamik an die mechanischen Möglichkeiten des Rigs und die gewünschte Intensität anzupassen.</t>
    </r>
  </si>
  <si>
    <r>
      <t>Traction Loss Angle</t>
    </r>
    <r>
      <rPr>
        <sz val="11"/>
        <color theme="1"/>
        <rFont val="Aptos Narrow"/>
        <family val="2"/>
        <scheme val="minor"/>
      </rPr>
      <t xml:space="preserve"> verwendet den tatsächlichen Gierwinkel‑Versatz (Yaw Slip Angle) zwischen Fahrzeugrichtung und Bewegungsrichtung als Quelle für den Traction‑Loss‑Effekt. Der Effekt basiert damit direkt auf dem Heckschlupf: je stärker das Fahrzeug ausbricht, desto größer die seitliche Plattformbewegung. Diese Methode bildet Übersteuern, Drifts und instabile Heckbewegungen physikalisch korrekt ab, reagiert aber weniger auf schnelle Lenkimpulse ohne echten Schlupf. Der Parameter erzeugt realistische, telemetriegetreue Heckbewegungen, die direkt aus der Fahrzeugdynamik stammen.  </t>
    </r>
    <r>
      <rPr>
        <b/>
        <sz val="11"/>
        <color theme="1"/>
        <rFont val="Aptos Narrow"/>
        <family val="2"/>
        <scheme val="minor"/>
      </rPr>
      <t>Lateral Velocity</t>
    </r>
    <r>
      <rPr>
        <sz val="11"/>
        <color theme="1"/>
        <rFont val="Aptos Narrow"/>
        <family val="2"/>
        <scheme val="minor"/>
      </rPr>
      <t xml:space="preserve"> verwendet die seitliche Geschwindigkeit des Fahrzeugs (m/s) als Quelle für den Traction‑Loss‑Effekt. Der Effekt reagiert damit stärker auf schnelle Richtungswechsel, Lenkimpulse und dynamische Lastwechsel, selbst wenn kein großer Schlupfwinkel entsteht. Diese Methode erzeugt ein lebendigeres, direkteres Motion‑Feedback, das besonders bei schnellen Richtungswechseln, Slaloms oder Rallye‑Fahrten sehr präsent ist. Sie ist weniger physikalisch exakt, aber deutlich reaktiver und „aggressiver“.</t>
    </r>
  </si>
  <si>
    <r>
      <t>Soft Limiter</t>
    </r>
    <r>
      <rPr>
        <sz val="11"/>
        <color theme="1"/>
        <rFont val="Aptos Narrow"/>
        <family val="2"/>
        <scheme val="minor"/>
      </rPr>
      <t xml:space="preserve"> reduziert die Plattformbewegung progressiv, sobald sich die Achse dem eingestellten Bewegungsende nähert. Statt eines harten, abrupten Anschlags wird die Bewegung sanft abgefedert, indem der Output des Effekts in einem definierten Bereich vor dem mechanischen Limit zunehmend begrenzt wird. Der Soft Limiter verändert nicht die Telemetrie und nicht die Effektstärke im Normalbereich, sondern wirkt ausschließlich im Grenzbereich, um mechanische Belastung zu reduzieren, Clipping zu vermeiden und die Bewegung natürlicher und kontrollierter zu gestalten.</t>
    </r>
  </si>
  <si>
    <r>
      <t>Dynamic Input Range Compression</t>
    </r>
    <r>
      <rPr>
        <sz val="11"/>
        <color theme="1"/>
        <rFont val="Aptos Narrow"/>
        <family val="2"/>
        <scheme val="minor"/>
      </rPr>
      <t xml:space="preserve"> komprimiert den Telemetrie‑Output dynamisch, sobald sich die Achse dem Soft‑Limiter‑Bereich nähert. Statt die Bewegung abrupt zu begrenzen, wird der Telemetrie‑Input progressiv „zusammengedrückt“, sodass große Ausschläge im Grenzbereich weniger stark an die Achse weitergegeben werden. Dadurch bleibt die Bewegung im Normalbereich unverändert, während der Grenzbereich sanfter, kontrollierter und mechanisch schonender wird. Die Option verhindert harte Limit‑Treffer, reduziert Clipping und sorgt für ein natürliches Abbremsen der Bewegung, ohne die Telemetrie selbst zu verändern.</t>
    </r>
  </si>
  <si>
    <r>
      <rPr>
        <b/>
        <sz val="11"/>
        <color theme="1"/>
        <rFont val="Aptos Narrow"/>
        <family val="2"/>
        <scheme val="minor"/>
      </rPr>
      <t>Smoothing</t>
    </r>
    <r>
      <rPr>
        <sz val="11"/>
        <color theme="1"/>
        <rFont val="Aptos Narrow"/>
        <family val="2"/>
        <scheme val="minor"/>
      </rPr>
      <t xml:space="preserve"> glättet den Telemetrie‑Input eines Effekts, indem schnelle Änderungen, Spitzen, Noise und abrupt wechselnde Werte reduziert werden. Der Parameter wirkt wie ein Tiefpassfilter: je höher das Smoothing, desto stärker wird der Input geglättet und desto langsamer reagiert die Achse auf schnelle Bewegungsänderungen. Smoothing verändert nicht die Telemetrie selbst, sondern nur die Art, wie der Effekt diese Telemetrie an die Achse weitergibt. Der normale Bewegungsbereich bleibt erhalten, aber schnelle Impulse werden abgeschwächt.</t>
    </r>
  </si>
  <si>
    <r>
      <rPr>
        <b/>
        <sz val="11"/>
        <color theme="1"/>
        <rFont val="Aptos Narrow"/>
        <family val="2"/>
        <scheme val="minor"/>
      </rPr>
      <t>Secondary Surge Gain</t>
    </r>
    <r>
      <rPr>
        <sz val="11"/>
        <color theme="1"/>
        <rFont val="Aptos Narrow"/>
        <family val="2"/>
        <scheme val="minor"/>
      </rPr>
      <t xml:space="preserve"> verstärkt die Intensität des </t>
    </r>
    <r>
      <rPr>
        <i/>
        <sz val="11"/>
        <color theme="1"/>
        <rFont val="Aptos Narrow"/>
        <family val="2"/>
        <scheme val="minor"/>
      </rPr>
      <t>sekundären</t>
    </r>
    <r>
      <rPr>
        <sz val="11"/>
        <color theme="1"/>
        <rFont val="Aptos Narrow"/>
        <family val="2"/>
        <scheme val="minor"/>
      </rPr>
      <t xml:space="preserve"> Surge‑Effekts, der aus der Kopplung von Längsbeschleunigung (Surge) auf Pitch entsteht. Dieser Effekt ergänzt den Primär‑Pitch‑Effekt, indem er zusätzliche Vor‑/Zurückbewegungen erzeugt, die aus Beschleunigen, Bremsen und Lastwechseln stammen. Der Gain multipliziert ausschließlich die Amplitude dieses sekundären Signals. Die Telemetrie bleibt unverändert — nur die Stärke des sekundären Pitch‑Beitrags wird erhöht oder reduziert.</t>
    </r>
  </si>
  <si>
    <t>Beschreibungen zu jeder Funktion anzeigen</t>
  </si>
  <si>
    <t>Beschreibungen zu jedem Effekt anzeigen</t>
  </si>
  <si>
    <t>UI verändert - das alles Benutzerfreundlicher wird</t>
  </si>
  <si>
    <t>Erklärungen hinzufügen in der Benutzeroberfläche</t>
  </si>
  <si>
    <t>Grundsätzliche Tips hinzufügen zur Profil Einstellung</t>
  </si>
  <si>
    <r>
      <rPr>
        <b/>
        <sz val="11"/>
        <color theme="1"/>
        <rFont val="Aptos Narrow"/>
        <family val="2"/>
        <scheme val="minor"/>
      </rPr>
      <t>Secondary Plattform Gain</t>
    </r>
    <r>
      <rPr>
        <sz val="11"/>
        <color theme="1"/>
        <rFont val="Aptos Narrow"/>
        <family val="2"/>
        <scheme val="minor"/>
      </rPr>
      <t xml:space="preserve"> verstärkt den kompletten sekundären Plattform‑Layer proportional, indem alle sekundären Bewegungsanteile auf Pitch, Roll, Heave, Surge, Sway und Traction Loss multipliziert werden, ohne die Primäreffekte oder die Telemetrie selbst zu verändern. Der Parameter beeinflusst die Beschleunigung, weil stärkere sekundäre Bewegungen höhere Achsbeschleunigungen erzeugen, und er erhöht das Risiko von Clipping und Überlagerung, da jede Achse durch die verstärkte Sekundärbewegung schneller an mechanische Grenzen geführt werden kann. Die Detailwahrnehmung steigt indirekt, weil kleine sekundäre Impulse stärker hervortreten, während die Achsgeschwindigkeit zunimmt, da größere Auslenkungen schneller gefahren werden müssen. Die Smoothness bleibt unverändert, weil keine Filterung verändert wird, während die Stärke des sekundären Layers der zentrale Effekt des Parameters ist. Störsignale werden verstärkt, da Noise und Telemetrie‑Spikes im Secondary‑Layer ebenfalls multipliziert werden. Telemetrie‑Input‑Limits bleiben unberührt, Totzonen werden nicht verändert, Unterstützung durch andere Effekte ist nicht betroffen, die Verfahrrichtung bleibt gleich, und der Verfahrweg wird indirekt beeinflusst, weil höhere sekundäre Amplituden mehr Weg auf allen Achsen nutzen, die Secondary‑Motion erhalten.</t>
    </r>
  </si>
  <si>
    <t>Der Gamma‑Faktor verändert die nichtlineare Verstärkung des Effekts, indem er die Telemetriekurve so umformt, dass kleine Werte stärker oder schwächer gewichtet werden und große Werte entsprechend komprimiert oder betont werden. Ein Gamma‑Wert größer als 1 reduziert die Sensitivität im unteren Bereich und verstärkt die Reaktion im oberen Bereich, während ein Gamma‑Wert kleiner als 1 kleine Inputs stärker hervorhebt und große Inputs relativ abschwächt. Die maximale Amplitude bleibt unverändert, aber die Verteilung der Bewegung über den gesamten Inputbereich wird neu geformt.</t>
  </si>
  <si>
    <r>
      <t>Flip Output Sign</t>
    </r>
    <r>
      <rPr>
        <sz val="11"/>
        <color theme="1"/>
        <rFont val="Aptos Narrow"/>
        <family val="2"/>
        <scheme val="minor"/>
      </rPr>
      <t xml:space="preserve"> invertiert das Vorzeichen der Telemetrie </t>
    </r>
    <r>
      <rPr>
        <b/>
        <sz val="11"/>
        <color theme="1"/>
        <rFont val="Aptos Narrow"/>
        <family val="2"/>
        <scheme val="minor"/>
      </rPr>
      <t>nach</t>
    </r>
    <r>
      <rPr>
        <sz val="11"/>
        <color theme="1"/>
        <rFont val="Aptos Narrow"/>
        <family val="2"/>
        <scheme val="minor"/>
      </rPr>
      <t xml:space="preserve"> der Response‑Kurve, aber </t>
    </r>
    <r>
      <rPr>
        <b/>
        <sz val="11"/>
        <color theme="1"/>
        <rFont val="Aptos Narrow"/>
        <family val="2"/>
        <scheme val="minor"/>
      </rPr>
      <t>vor</t>
    </r>
    <r>
      <rPr>
        <sz val="11"/>
        <color theme="1"/>
        <rFont val="Aptos Narrow"/>
        <family val="2"/>
        <scheme val="minor"/>
      </rPr>
      <t xml:space="preserve"> allen weiteren Verarbeitungsschritten wie Gain, Smoothing, Washout oder Limiter. Das bedeutet: Positive Telemetrie wird negativ, negative Telemetrie wird positiv. Die Amplitude bleibt vollständig erhalten, nur die Richtung wird umgekehrt. Dadurch kehrt sich die Bewegungsrichtung der Achse um, ohne die Stärke, die Kurvenform oder die Telemetrieverteilung zu verändern. Der Effekt ist rein mathematisch: +1 wird zu –1, –0.5 wird zu +0.5 usw. Die gesamte nachfolgende Effektkette arbeitet dann mit dem invertierten Signal, was die physische Bewegungsrichtung der Plattform umkehrt, aber keine weiteren Eigenschaften der Telemetrie verändert.</t>
    </r>
  </si>
  <si>
    <r>
      <t>Dead Zone Exit Smoothing</t>
    </r>
    <r>
      <rPr>
        <sz val="11"/>
        <color theme="1"/>
        <rFont val="Aptos Narrow"/>
        <family val="2"/>
        <scheme val="minor"/>
      </rPr>
      <t xml:space="preserve"> glättet den Übergang zwischen der Totzone und dem aktiven Telemetrie‑Bereich, indem der Output beim Verlassen der Totzone prozentual weich hochgefahren wird, statt abrupt von „0“ auf den tatsächlichen Telemetrie‑Wert zu springen. Die Totzone selbst bleibt unverändert, aber sobald die Telemetrie den Dead‑Zone‑Schwellenwert überschreitet, wird der Output über einen definierten Prozentbereich progressiv angehoben. Dadurch entsteht ein sanfter, kontrollierter Übergang, der harte Sprünge, Ruckler und abrupte Bewegungsimpulse verhindert. Die Telemetrie wird nicht verändert, aber der Output wird im Übergangsbereich temporär geglättet, bevor die normale Response‑Kurve wieder vollständig greift. Das wirkt wie ein Mikro‑Smoothing ausschließlich beim Verlassen der Totzone, ohne den restlichen Bewegungsbereich zu beeinflussen.</t>
    </r>
  </si>
  <si>
    <r>
      <t>Dead Zone Exit Kick</t>
    </r>
    <r>
      <rPr>
        <sz val="11"/>
        <color theme="1"/>
        <rFont val="Aptos Narrow"/>
        <family val="2"/>
        <scheme val="minor"/>
      </rPr>
      <t xml:space="preserve"> erzeugt beim Verlassen der Totzone einen kurzen, prozentual definierten Impuls, der den Output sofort über den normalen Kurvenwert hinaus anhebt. Während „Exit Smoothing“ den Übergang weich macht, macht „Exit Kick“ das Gegenteil: Es gibt einen kleinen „Schubs“, der die Achse sofort spürbar in Bewegung setzt, sobald die Telemetrie die Totzone verlässt. Die Telemetrie selbst bleibt unverändert, aber der Output wird im Moment des Totzonen‑Austritts künstlich verstärkt, bevor die normale Response‑Kurve übernimmt. Dadurch wird der Übergang aus der Totzone direkter, aggressiver und reaktionsfreudiger, was besonders bei Effekten mit natürlicher Mittelbereichsträgheit (z. B. Lenkung, leichte Surge‑Impulse) ein präziseres Gefühl erzeugt. Der Kick wirkt ausschließlich im Moment des Austritts und hat keinen Einfluss auf den restlichen Bewegungsbereich.</t>
    </r>
  </si>
  <si>
    <t>Die Dead Zone legt einen prozentualen Bereich um den Nullpunkt fest, in dem eingehende Telemetrie vollständig ignoriert und der Output auf exakt 0 gesetzt wird. Innerhalb dieses Bereichs erzeugt die Telemetrie keinerlei Bewegung, unabhängig davon, wie fein oder dynamisch sie ist. Erst wenn der Telemetrie‑Wert den definierten Dead‑Zone‑Schwellenwert überschreitet, wird wieder normal nach der Response‑Kurve gearbeitet. Die Dead Zone verändert die Telemetrie nicht, sondern ersetzt sie im definierten Bereich durch einen konstanten Null‑Output. Dadurch werden kleine Bewegungen, Noise, Sensorzittern und Mikro‑Impulse vollständig unterdrückt, während der restliche Bewegungsbereich unverändert bleibt. Die Dead Zone wirkt also als harter Null‑Filter im Mittelbereich und beeinflusst die gesamte nachfolgende Effektkette, weil der Output erst ab einem bestimmten Telemetrie‑Wert überhaupt beginnt.</t>
  </si>
  <si>
    <r>
      <t xml:space="preserve">Die Funktion </t>
    </r>
    <r>
      <rPr>
        <b/>
        <sz val="11"/>
        <color theme="1"/>
        <rFont val="Aptos Narrow"/>
        <family val="2"/>
        <scheme val="minor"/>
      </rPr>
      <t>Record</t>
    </r>
    <r>
      <rPr>
        <sz val="11"/>
        <color theme="1"/>
        <rFont val="Aptos Narrow"/>
        <family val="2"/>
        <scheme val="minor"/>
      </rPr>
      <t xml:space="preserve"> aktiviert die Live‑Aufnahme der eingehenden Telemetrie‑Daten, bevor sie durch Response‑Curve, Filter, Gains oder sonstige Effektmodule verändert wird. Während der Aufnahme werden die Roh‑Telemetrie‑Werte in Echtzeit gespeichert, um sie später analysieren, vergleichen oder für Tuning‑Zwecke wieder abspielen zu können. Die Aufnahme beeinflusst die Telemetrie selbst nicht, sondern läuft parallel zur normalen Verarbeitung. Sie dient ausschließlich der Datenerfassung und ermöglicht es, Bewegungsprofile, Spitzenwerte, Frequenzanteile und Anomalien exakt zu untersuchen. Die Aufnahme endet erst, wenn sie manuell gestoppt wird oder ein definierter Speicherpunkt erreicht ist. Record ist damit ein reines Monitoring‑Werkzeug, das die Effektkette nicht verändert, aber die Grundlage für präzises Motion‑Tuning liefert.</t>
    </r>
  </si>
  <si>
    <r>
      <t xml:space="preserve">Wenn du willst, machen wir direkt </t>
    </r>
    <r>
      <rPr>
        <b/>
        <sz val="11"/>
        <color theme="1"/>
        <rFont val="Aptos Narrow"/>
        <family val="2"/>
        <scheme val="minor"/>
      </rPr>
      <t>den nächsten Parameter</t>
    </r>
    <r>
      <rPr>
        <sz val="11"/>
        <color theme="1"/>
        <rFont val="Aptos Narrow"/>
        <family val="2"/>
        <scheme val="minor"/>
      </rPr>
      <t xml:space="preserve"> — ich bleibe strikt im 2‑Block‑Schema.</t>
    </r>
  </si>
  <si>
    <r>
      <t xml:space="preserve">Der </t>
    </r>
    <r>
      <rPr>
        <b/>
        <sz val="11"/>
        <color theme="1"/>
        <rFont val="Aptos Narrow"/>
        <family val="2"/>
        <scheme val="minor"/>
      </rPr>
      <t>Noise Filter</t>
    </r>
    <r>
      <rPr>
        <sz val="11"/>
        <color theme="1"/>
        <rFont val="Aptos Narrow"/>
        <family val="2"/>
        <scheme val="minor"/>
      </rPr>
      <t xml:space="preserve"> reduziert hochfrequente, schnelle, unregelmäßige Telemetrie‑Schwankungen, die typischerweise durch Sensorrauschen, Datenquantisierung, Physik‑Spikes oder instabile Telemetriequellen entstehen. Er wirkt </t>
    </r>
    <r>
      <rPr>
        <b/>
        <sz val="11"/>
        <color theme="1"/>
        <rFont val="Aptos Narrow"/>
        <family val="2"/>
        <scheme val="minor"/>
      </rPr>
      <t>vor</t>
    </r>
    <r>
      <rPr>
        <sz val="11"/>
        <color theme="1"/>
        <rFont val="Aptos Narrow"/>
        <family val="2"/>
        <scheme val="minor"/>
      </rPr>
      <t xml:space="preserve"> der eigentlichen Effektverarbeitung und glättet ausschließlich die unerwünschten Mikro‑Impulse, ohne die grundlegende Form der Telemetrie zu verändern. Der Filter dämpft schnelle, kleine Ausschläge, sodass nur die relevanten Bewegungsanteile übrig bleiben, während künstliche Zitterbewegungen, Flackern oder digitale Artefakte entfernt werden. Dadurch wird der Effekt ruhiger, stabiler und kontrollierter, allerdings auf Kosten feinster Details, die ebenfalls abgeschwächt werden können. Der Noise Filter ist kein klassisches Smoothing über den gesamten Bereich, sondern ein gezielter Hochfrequenz‑Dämpfer, der nur die „schmutzigen“ Telemetrieanteile eliminiert.</t>
    </r>
  </si>
  <si>
    <r>
      <rPr>
        <b/>
        <sz val="11"/>
        <color theme="1"/>
        <rFont val="Aptos Narrow"/>
        <family val="2"/>
        <scheme val="minor"/>
      </rPr>
      <t>Target Frequencies</t>
    </r>
    <r>
      <rPr>
        <sz val="11"/>
        <color theme="1"/>
        <rFont val="Aptos Narrow"/>
        <family val="2"/>
        <scheme val="minor"/>
      </rPr>
      <t xml:space="preserve"> legt fest, welche Frequenzbereiche der Noise Filter dämpft. Er filtert nur die ausgewählten Frequenzen (Low / Mid / High), alle anderen bleiben unverändert. Damit bestimmst du, welche Bewegungsanteile als Noise gelten und entfernt werden.</t>
    </r>
  </si>
  <si>
    <t>Priorisierung der Effekte einbauen</t>
  </si>
  <si>
    <t>Erläuterung</t>
  </si>
  <si>
    <t>Erklärung</t>
  </si>
  <si>
    <t>Effekt</t>
  </si>
  <si>
    <t>Symptom</t>
  </si>
  <si>
    <t>WENN(A1=Blatt1!$B$1;B1;"") - Symptome zu ausgewähltem Effekt filtern</t>
  </si>
  <si>
    <t>WENN(A1=Blatt1!$B$2;B1;"")</t>
  </si>
  <si>
    <t>Flug Simulationen Unterstützen</t>
  </si>
  <si>
    <t>Funktionen erweitern (sind noch nicht alle eingebaut)</t>
  </si>
  <si>
    <t>Erklärungen den Funktionen zuordnen und sichtbar machen</t>
  </si>
  <si>
    <t>Alle Begriffe mit Erklärungen versorgen und Duplikate entfernen</t>
  </si>
  <si>
    <t>Funktion</t>
  </si>
  <si>
    <t>Gurtstraff System Funktionen</t>
  </si>
  <si>
    <t>Effect direction - Move Forward when Braking - Move Backward when Braking</t>
  </si>
  <si>
    <t>Surge - Secondary Surge</t>
  </si>
  <si>
    <t>noch hinzufügen</t>
  </si>
  <si>
    <t>Surge to Pitch - Secondary Surge to pitch</t>
  </si>
  <si>
    <t>Effect direction - Slide Outward when cornering - Slide Inward when cornering</t>
  </si>
  <si>
    <t>Faktor</t>
  </si>
  <si>
    <t>x</t>
  </si>
  <si>
    <t>Die Benutzer Oberfläche findet Ihr in "Blatt1"</t>
  </si>
  <si>
    <t>Zelle anklicken, dann Dropdown am Pfeil links öffnen</t>
  </si>
  <si>
    <t>1. Wähle hier aus welcher Effekt betroffen ist &gt;&gt;&gt;&gt;</t>
  </si>
  <si>
    <t>2. Wähle hier was Dich an dem Effekt stört oder was einfach nicht passt &gt;&gt;&gt;</t>
  </si>
  <si>
    <t>3. Ergebnis auslesen in Spalte E, dort stehen jetzt die möglichen</t>
  </si>
  <si>
    <t xml:space="preserve">      Einstellungen für Dein Problem</t>
  </si>
  <si>
    <t>Bitte DRINGEND beachten:</t>
  </si>
  <si>
    <t>Es handelt sich um eine sehr frühe Version des Motion Helpers</t>
  </si>
  <si>
    <t>Ergebnisse stimmen noch nicht zu 100%</t>
  </si>
  <si>
    <t>Es fehlen noch sehr viele mögliche Einstellungen</t>
  </si>
  <si>
    <t>Der Motion Helper liefert im Moment nur einige der Einstellungen, noch lange nicht alle</t>
  </si>
  <si>
    <t>Mehr Haptics Funktionen hinzufügen</t>
  </si>
  <si>
    <t>weitere Telemetrie Tools hinzufügen</t>
  </si>
  <si>
    <t>geplante Funktionen die noch fehlen:</t>
  </si>
  <si>
    <t>Ergebnisse sind noch nicht 100% korrekt da noch ein wichtiger Filter fehlt</t>
  </si>
  <si>
    <t>Version0.6.0</t>
  </si>
  <si>
    <t>nur Blatt1 ist für User relevant</t>
  </si>
  <si>
    <t>Blatt1 umbenennen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</si>
</sst>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rgb="FFFF0000"/>
      <name val="Aptos Narrow"/>
      <family val="2"/>
      <scheme val="minor"/>
    </font>
    <font>
      <i/>
      <sz val="11"/>
      <color theme="1"/>
      <name val="Aptos Narrow"/>
      <family val="2"/>
      <scheme val="minor"/>
    </font>
    <font>
      <b/>
      <sz val="12"/>
      <color theme="1"/>
      <name val="Aptos Narrow"/>
      <family val="2"/>
      <scheme val="minor"/>
    </font>
    <font>
      <b/>
      <sz val="12"/>
      <color rgb="FFFF0000"/>
      <name val="Aptos Narrow"/>
      <family val="2"/>
      <scheme val="minor"/>
    </font>
    <font>
      <b/>
      <sz val="12"/>
      <color theme="9" tint="-0.499984740745262"/>
      <name val="Aptos Narrow"/>
      <family val="2"/>
      <scheme val="minor"/>
    </font>
    <font>
      <b/>
      <sz val="14"/>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0" fontId="0" fillId="2" borderId="0" xfId="0" applyFill="1" applyAlignment="1">
      <alignment horizontal="center" vertical="center"/>
    </xf>
    <xf numFmtId="0" fontId="0" fillId="2" borderId="0" xfId="0" applyFill="1"/>
    <xf numFmtId="0" fontId="2" fillId="0" borderId="0" xfId="0" applyFont="1"/>
    <xf numFmtId="0" fontId="2" fillId="0" borderId="0" xfId="0" applyFont="1" applyAlignment="1">
      <alignment horizontal="left" wrapText="1"/>
    </xf>
    <xf numFmtId="0" fontId="1" fillId="0" borderId="0" xfId="0" applyFont="1"/>
    <xf numFmtId="0" fontId="3" fillId="0" borderId="0" xfId="0" applyFont="1" applyAlignment="1">
      <alignment horizontal="left" wrapText="1"/>
    </xf>
    <xf numFmtId="0" fontId="0" fillId="0" borderId="0" xfId="0" applyAlignment="1">
      <alignment wrapText="1"/>
    </xf>
    <xf numFmtId="0" fontId="2" fillId="0" borderId="0" xfId="0" applyFont="1" applyAlignment="1">
      <alignment wrapText="1"/>
    </xf>
    <xf numFmtId="0" fontId="0" fillId="0" borderId="0" xfId="0" applyAlignment="1">
      <alignment horizontal="left" vertical="center"/>
    </xf>
    <xf numFmtId="0" fontId="4" fillId="0" borderId="0" xfId="0" applyFont="1"/>
    <xf numFmtId="0" fontId="0" fillId="3" borderId="0" xfId="0" applyFill="1"/>
    <xf numFmtId="0" fontId="0" fillId="0" borderId="0" xfId="0" applyAlignment="1">
      <alignment horizontal="left" wrapText="1"/>
    </xf>
    <xf numFmtId="0" fontId="0" fillId="3" borderId="0" xfId="0" applyFill="1" applyAlignment="1">
      <alignment horizontal="left" vertical="center"/>
    </xf>
    <xf numFmtId="0" fontId="1" fillId="3" borderId="0" xfId="0" applyFont="1" applyFill="1"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wrapText="1"/>
    </xf>
    <xf numFmtId="0" fontId="2" fillId="3" borderId="0" xfId="0" applyFont="1" applyFill="1"/>
    <xf numFmtId="0" fontId="6" fillId="0" borderId="0" xfId="0" applyFont="1"/>
    <xf numFmtId="0" fontId="6" fillId="0" borderId="1" xfId="0" applyFont="1" applyBorder="1"/>
    <xf numFmtId="0" fontId="0" fillId="0" borderId="0" xfId="0" quotePrefix="1"/>
    <xf numFmtId="0" fontId="1" fillId="4" borderId="0" xfId="0" quotePrefix="1" applyFont="1" applyFill="1"/>
    <xf numFmtId="0" fontId="4" fillId="0" borderId="0" xfId="0" applyFont="1" applyAlignment="1">
      <alignment horizontal="left" vertical="center"/>
    </xf>
    <xf numFmtId="0" fontId="0" fillId="0" borderId="0" xfId="0" applyAlignment="1">
      <alignment horizontal="center" vertical="center"/>
    </xf>
    <xf numFmtId="0" fontId="0" fillId="2" borderId="0" xfId="0" applyFill="1" applyAlignment="1">
      <alignment horizontal="center" vertical="center"/>
    </xf>
    <xf numFmtId="0" fontId="7" fillId="0" borderId="0" xfId="0" applyFont="1"/>
    <xf numFmtId="0" fontId="8" fillId="0" borderId="0" xfId="0" applyFont="1" applyAlignment="1">
      <alignment wrapText="1"/>
    </xf>
    <xf numFmtId="0" fontId="8" fillId="0" borderId="0" xfId="0" applyFont="1"/>
    <xf numFmtId="0" fontId="9" fillId="0" borderId="0" xfId="0" applyFont="1"/>
    <xf numFmtId="0" fontId="0" fillId="0" borderId="0" xfId="0" applyProtection="1">
      <protection locked="0"/>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DD41-F200-49A1-8A7B-D3B7B8B51651}">
  <sheetPr codeName="Tabelle1"/>
  <dimension ref="A1:A26"/>
  <sheetViews>
    <sheetView workbookViewId="0">
      <selection activeCell="A23" sqref="A23"/>
    </sheetView>
  </sheetViews>
  <sheetFormatPr baseColWidth="10" defaultRowHeight="14.5" x14ac:dyDescent="0.35"/>
  <cols>
    <col min="1" max="1" width="92.90625" customWidth="1"/>
  </cols>
  <sheetData>
    <row r="1" spans="1:1" x14ac:dyDescent="0.35">
      <c r="A1" t="s">
        <v>362</v>
      </c>
    </row>
    <row r="2" spans="1:1" x14ac:dyDescent="0.35">
      <c r="A2" t="s">
        <v>378</v>
      </c>
    </row>
    <row r="6" spans="1:1" x14ac:dyDescent="0.35">
      <c r="A6" s="6" t="s">
        <v>375</v>
      </c>
    </row>
    <row r="7" spans="1:1" x14ac:dyDescent="0.35">
      <c r="A7" s="11" t="s">
        <v>376</v>
      </c>
    </row>
    <row r="8" spans="1:1" x14ac:dyDescent="0.35">
      <c r="A8" t="s">
        <v>327</v>
      </c>
    </row>
    <row r="9" spans="1:1" x14ac:dyDescent="0.35">
      <c r="A9" t="s">
        <v>328</v>
      </c>
    </row>
    <row r="10" spans="1:1" x14ac:dyDescent="0.35">
      <c r="A10" t="s">
        <v>281</v>
      </c>
    </row>
    <row r="11" spans="1:1" x14ac:dyDescent="0.35">
      <c r="A11" t="s">
        <v>329</v>
      </c>
    </row>
    <row r="12" spans="1:1" x14ac:dyDescent="0.35">
      <c r="A12" t="s">
        <v>330</v>
      </c>
    </row>
    <row r="13" spans="1:1" x14ac:dyDescent="0.35">
      <c r="A13" t="s">
        <v>331</v>
      </c>
    </row>
    <row r="14" spans="1:1" x14ac:dyDescent="0.35">
      <c r="A14" s="8" t="s">
        <v>342</v>
      </c>
    </row>
    <row r="15" spans="1:1" x14ac:dyDescent="0.35">
      <c r="A15" s="8" t="s">
        <v>349</v>
      </c>
    </row>
    <row r="16" spans="1:1" x14ac:dyDescent="0.35">
      <c r="A16" s="8" t="s">
        <v>350</v>
      </c>
    </row>
    <row r="17" spans="1:1" x14ac:dyDescent="0.35">
      <c r="A17" s="8" t="s">
        <v>351</v>
      </c>
    </row>
    <row r="18" spans="1:1" x14ac:dyDescent="0.35">
      <c r="A18" s="8" t="s">
        <v>352</v>
      </c>
    </row>
    <row r="19" spans="1:1" x14ac:dyDescent="0.35">
      <c r="A19" s="10" t="s">
        <v>354</v>
      </c>
    </row>
    <row r="20" spans="1:1" x14ac:dyDescent="0.35">
      <c r="A20" s="8" t="s">
        <v>373</v>
      </c>
    </row>
    <row r="21" spans="1:1" x14ac:dyDescent="0.35">
      <c r="A21" s="8" t="s">
        <v>374</v>
      </c>
    </row>
    <row r="22" spans="1:1" x14ac:dyDescent="0.35">
      <c r="A22" s="8" t="s">
        <v>379</v>
      </c>
    </row>
    <row r="26" spans="1:1" x14ac:dyDescent="0.35">
      <c r="A26" t="s">
        <v>377</v>
      </c>
    </row>
  </sheetData>
  <sheetProtection algorithmName="SHA-512" hashValue="voVRMcums4g/T+u8FhF3oUcK5ZmHsuq4odygt+soEZNrld3Piu867jNT3y+mv8Y8ZZ9w2EyZbsNlqy3w7O3C/A==" saltValue="LI+lqQqkUA6cCHDLmXb0mw==" spinCount="100000" sheet="1" objects="1" scenarios="1" selectLockedCells="1" selectUnlockedCell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044DC-15AA-46B9-B107-79E028327E76}">
  <sheetPr codeName="Tabelle2"/>
  <dimension ref="A1:E630"/>
  <sheetViews>
    <sheetView workbookViewId="0">
      <selection activeCell="B1" sqref="B1"/>
    </sheetView>
  </sheetViews>
  <sheetFormatPr baseColWidth="10" defaultRowHeight="14.5" x14ac:dyDescent="0.35"/>
  <cols>
    <col min="1" max="1" width="70.54296875" bestFit="1" customWidth="1"/>
    <col min="2" max="2" width="46" customWidth="1"/>
    <col min="3" max="3" width="38" bestFit="1" customWidth="1"/>
    <col min="4" max="4" width="62.453125" bestFit="1" customWidth="1"/>
    <col min="5" max="5" width="65.453125" customWidth="1"/>
    <col min="6" max="6" width="34.36328125" bestFit="1" customWidth="1"/>
    <col min="7" max="7" width="56.08984375" customWidth="1"/>
    <col min="8" max="8" width="15" bestFit="1" customWidth="1"/>
  </cols>
  <sheetData>
    <row r="1" spans="1:5" ht="16" x14ac:dyDescent="0.4">
      <c r="A1" s="27" t="s">
        <v>364</v>
      </c>
      <c r="B1" s="31" t="s">
        <v>197</v>
      </c>
      <c r="C1" t="str" cm="1">
        <f t="array" ref="C1">IFERROR(INDEX(Filter!$B:$B,_xlfn.AGGREGATE(15,6,Filter!$C:$C,ROW(A1))),"")</f>
        <v>Stärke</v>
      </c>
      <c r="D1" t="str" cm="1">
        <f t="array" ref="D1">IFERROR(INDEX(Filter!$G:$G,_xlfn.AGGREGATE(15,6,Filter!$H:$H,ROW(A1))),"")</f>
        <v>Effect scaling - Uniform scaling - Separate acceleration and decleration</v>
      </c>
      <c r="E1" t="str" cm="1">
        <f t="array" ref="E1:E20">_xlfn._xlws.FILTER(Blatt1!D:D,ISNUMBER(MATCH(Blatt1!D:D,_xlfn._xlws.FILTER(Blatt5!A2:A456,Blatt5!B2:B456=Blatt1!B1),0)))</f>
        <v>Effect Tuner</v>
      </c>
    </row>
    <row r="2" spans="1:5" ht="16" x14ac:dyDescent="0.4">
      <c r="A2" s="27" t="s">
        <v>365</v>
      </c>
      <c r="B2" s="31" t="s">
        <v>21</v>
      </c>
      <c r="C2" t="str" cm="1">
        <f t="array" ref="C2">IFERROR(INDEX(Filter!$B:$B,_xlfn.AGGREGATE(15,6,Filter!$C:$C,ROW(A2))),"")</f>
        <v>Geschwindigkeit</v>
      </c>
      <c r="D2" t="str" cm="1">
        <f t="array" ref="D2">IFERROR(INDEX(Filter!$G:$G,_xlfn.AGGREGATE(15,6,Filter!$H:$H,ROW(A2))),"")</f>
        <v>Effect scaling - Uniform scaling - Separate front and back pitch</v>
      </c>
      <c r="E2" t="str">
        <v>Effekt Gain</v>
      </c>
    </row>
    <row r="3" spans="1:5" ht="16" x14ac:dyDescent="0.4">
      <c r="A3" s="28" t="s">
        <v>366</v>
      </c>
      <c r="C3" t="str" cm="1">
        <f t="array" ref="C3">IFERROR(INDEX(Filter!$B:$B,_xlfn.AGGREGATE(15,6,Filter!$C:$C,ROW(A3))),"")</f>
        <v>Beschleunigung</v>
      </c>
      <c r="D3" t="str" cm="1">
        <f t="array" ref="D3">IFERROR(INDEX(Filter!$G:$G,_xlfn.AGGREGATE(15,6,Filter!$H:$H,ROW(A3))),"")</f>
        <v>Effect speed limiter - Acivity range based speed reduction</v>
      </c>
      <c r="E3" t="str">
        <v>Enable adaptive Washout</v>
      </c>
    </row>
    <row r="4" spans="1:5" ht="16" x14ac:dyDescent="0.4">
      <c r="A4" s="29" t="s">
        <v>367</v>
      </c>
      <c r="C4" t="str" cm="1">
        <f t="array" ref="C4">IFERROR(INDEX(Filter!$B:$B,_xlfn.AGGREGATE(15,6,Filter!$C:$C,ROW(A4))),"")</f>
        <v>Smoothness</v>
      </c>
      <c r="D4" t="str" cm="1">
        <f t="array" ref="D4">IFERROR(INDEX(Filter!$G:$G,_xlfn.AGGREGATE(15,6,Filter!$H:$H,ROW(A4))),"")</f>
        <v>Effect Speed Limiter - Enable effect axis speed limiter</v>
      </c>
      <c r="E4" t="str">
        <v>Global Motion Smoothing</v>
      </c>
    </row>
    <row r="5" spans="1:5" x14ac:dyDescent="0.35">
      <c r="A5" t="s">
        <v>363</v>
      </c>
      <c r="C5" t="str" cm="1">
        <f t="array" ref="C5">IFERROR(INDEX(Filter!$B:$B,_xlfn.AGGREGATE(15,6,Filter!$C:$C,ROW(A5))),"")</f>
        <v>Verfahrweg</v>
      </c>
      <c r="D5" t="str" cm="1">
        <f t="array" ref="D5">IFERROR(INDEX(Filter!$G:$G,_xlfn.AGGREGATE(15,6,Filter!$H:$H,ROW(A5))),"")</f>
        <v>Effect Tuner</v>
      </c>
      <c r="E5" t="str">
        <v>Input Limit</v>
      </c>
    </row>
    <row r="6" spans="1:5" x14ac:dyDescent="0.35">
      <c r="C6" t="str" cm="1">
        <f t="array" ref="C6">IFERROR(INDEX(Filter!$B:$B,_xlfn.AGGREGATE(15,6,Filter!$C:$C,ROW(A6))),"")</f>
        <v>Details</v>
      </c>
      <c r="D6" t="str" cm="1">
        <f t="array" ref="D6">IFERROR(INDEX(Filter!$G:$G,_xlfn.AGGREGATE(15,6,Filter!$H:$H,ROW(A6))),"")</f>
        <v>Effekt Gain</v>
      </c>
      <c r="E6" t="str">
        <v>Main Plattform Gain</v>
      </c>
    </row>
    <row r="7" spans="1:5" x14ac:dyDescent="0.35">
      <c r="C7" t="str" cm="1">
        <f t="array" ref="C7">IFERROR(INDEX(Filter!$B:$B,_xlfn.AGGREGATE(15,6,Filter!$C:$C,ROW(A7))),"")</f>
        <v>Telemetrie - Input Limit</v>
      </c>
      <c r="D7" t="str" cm="1">
        <f t="array" ref="D7">IFERROR(INDEX(Filter!$G:$G,_xlfn.AGGREGATE(15,6,Filter!$H:$H,ROW(A7))),"")</f>
        <v>Enable adaptive Washout</v>
      </c>
      <c r="E7" t="str">
        <v>Motion Gain</v>
      </c>
    </row>
    <row r="8" spans="1:5" ht="18.5" x14ac:dyDescent="0.45">
      <c r="A8" s="30" t="s">
        <v>368</v>
      </c>
      <c r="C8" t="str" cm="1">
        <f t="array" ref="C8">IFERROR(INDEX(Filter!$B:$B,_xlfn.AGGREGATE(15,6,Filter!$C:$C,ROW(A8))),"")</f>
        <v>Totzone</v>
      </c>
      <c r="D8" t="str" cm="1">
        <f t="array" ref="D8">IFERROR(INDEX(Filter!$G:$G,_xlfn.AGGREGATE(15,6,Filter!$H:$H,ROW(A8))),"")</f>
        <v>Front / rear bias (Center of rotation)</v>
      </c>
      <c r="E8" t="str">
        <v>Motion Range</v>
      </c>
    </row>
    <row r="9" spans="1:5" x14ac:dyDescent="0.35">
      <c r="A9" t="s">
        <v>369</v>
      </c>
      <c r="C9" t="str" cm="1">
        <f t="array" ref="C9">IFERROR(INDEX(Filter!$B:$B,_xlfn.AGGREGATE(15,6,Filter!$C:$C,ROW(A9))),"")</f>
        <v>Clipping - Overflow - Effekt Überlagerung</v>
      </c>
      <c r="D9" t="str" cm="1">
        <f t="array" ref="D9">IFERROR(INDEX(Filter!$G:$G,_xlfn.AGGREGATE(15,6,Filter!$H:$H,ROW(A9))),"")</f>
        <v>Global Motion Smoothing</v>
      </c>
      <c r="E9" t="str">
        <v>Noise Filter</v>
      </c>
    </row>
    <row r="10" spans="1:5" x14ac:dyDescent="0.35">
      <c r="A10" t="s">
        <v>370</v>
      </c>
      <c r="C10" t="str" cm="1">
        <f t="array" ref="C10">IFERROR(INDEX(Filter!$B:$B,_xlfn.AGGREGATE(15,6,Filter!$C:$C,ROW(A10))),"")</f>
        <v/>
      </c>
      <c r="D10" t="str" cm="1">
        <f t="array" ref="D10">IFERROR(INDEX(Filter!$G:$G,_xlfn.AGGREGATE(15,6,Filter!$H:$H,ROW(A10))),"")</f>
        <v>Haptics Effect Gain</v>
      </c>
      <c r="E10" t="str">
        <v>Noise Filter - Target Frequenzies</v>
      </c>
    </row>
    <row r="11" spans="1:5" x14ac:dyDescent="0.35">
      <c r="A11" t="s">
        <v>371</v>
      </c>
      <c r="C11" t="str" cm="1">
        <f t="array" ref="C11">IFERROR(INDEX(Filter!$B:$B,_xlfn.AGGREGATE(15,6,Filter!$C:$C,ROW(A11))),"")</f>
        <v/>
      </c>
      <c r="D11" t="str" cm="1">
        <f t="array" ref="D11">IFERROR(INDEX(Filter!$G:$G,_xlfn.AGGREGATE(15,6,Filter!$H:$H,ROW(A11))),"")</f>
        <v>Haptics Gain</v>
      </c>
      <c r="E11" t="str">
        <v>Record (Telemetrie)</v>
      </c>
    </row>
    <row r="12" spans="1:5" x14ac:dyDescent="0.35">
      <c r="A12" t="s">
        <v>372</v>
      </c>
      <c r="C12" t="str" cm="1">
        <f t="array" ref="C12">IFERROR(INDEX(Filter!$B:$B,_xlfn.AGGREGATE(15,6,Filter!$C:$C,ROW(A12))),"")</f>
        <v/>
      </c>
      <c r="D12" t="str" cm="1">
        <f t="array" ref="D12">IFERROR(INDEX(Filter!$G:$G,_xlfn.AGGREGATE(15,6,Filter!$H:$H,ROW(A12))),"")</f>
        <v>Input Limit</v>
      </c>
      <c r="E12" t="str">
        <v>Response Curve - Dead zone (Percent)</v>
      </c>
    </row>
    <row r="13" spans="1:5" x14ac:dyDescent="0.35">
      <c r="C13" t="str" cm="1">
        <f t="array" ref="C13">IFERROR(INDEX(Filter!$B:$B,_xlfn.AGGREGATE(15,6,Filter!$C:$C,ROW(A13))),"")</f>
        <v/>
      </c>
      <c r="D13" t="str" cm="1">
        <f t="array" ref="D13">IFERROR(INDEX(Filter!$G:$G,_xlfn.AGGREGATE(15,6,Filter!$H:$H,ROW(A13))),"")</f>
        <v>Main Plattform Gain</v>
      </c>
      <c r="E13" t="str">
        <v>Response Curve - Dead Zone exit kick (Percent)</v>
      </c>
    </row>
    <row r="14" spans="1:5" x14ac:dyDescent="0.35">
      <c r="C14" t="str" cm="1">
        <f t="array" ref="C14">IFERROR(INDEX(Filter!$B:$B,_xlfn.AGGREGATE(15,6,Filter!$C:$C,ROW(A14))),"")</f>
        <v/>
      </c>
      <c r="D14" t="str" cm="1">
        <f t="array" ref="D14">IFERROR(INDEX(Filter!$G:$G,_xlfn.AGGREGATE(15,6,Filter!$H:$H,ROW(A14))),"")</f>
        <v>Motion Gain</v>
      </c>
      <c r="E14" t="str">
        <v>Response Curve - Dead Zone exit smoothing (Percent)</v>
      </c>
    </row>
    <row r="15" spans="1:5" x14ac:dyDescent="0.35">
      <c r="C15" t="str" cm="1">
        <f t="array" ref="C15">IFERROR(INDEX(Filter!$B:$B,_xlfn.AGGREGATE(15,6,Filter!$C:$C,ROW(A15))),"")</f>
        <v/>
      </c>
      <c r="D15" t="str" cm="1">
        <f t="array" ref="D15">IFERROR(INDEX(Filter!$G:$G,_xlfn.AGGREGATE(15,6,Filter!$H:$H,ROW(A15))),"")</f>
        <v>Motion Range</v>
      </c>
      <c r="E15" t="str">
        <v>Response Curve - Flip output sign</v>
      </c>
    </row>
    <row r="16" spans="1:5" x14ac:dyDescent="0.35">
      <c r="C16" t="str" cm="1">
        <f t="array" ref="C16">IFERROR(INDEX(Filter!$B:$B,_xlfn.AGGREGATE(15,6,Filter!$C:$C,ROW(A16))),"")</f>
        <v/>
      </c>
      <c r="D16" t="str" cm="1">
        <f t="array" ref="D16">IFERROR(INDEX(Filter!$G:$G,_xlfn.AGGREGATE(15,6,Filter!$H:$H,ROW(A16))),"")</f>
        <v>Noise Filter</v>
      </c>
      <c r="E16" t="str">
        <v>Response Curve - Gamma Factor</v>
      </c>
    </row>
    <row r="17" spans="1:5" x14ac:dyDescent="0.35">
      <c r="A17" s="6"/>
      <c r="C17" t="str" cm="1">
        <f t="array" ref="C17">IFERROR(INDEX(Filter!$B:$B,_xlfn.AGGREGATE(15,6,Filter!$C:$C,ROW(A17))),"")</f>
        <v/>
      </c>
      <c r="D17" t="str" cm="1">
        <f t="array" ref="D17">IFERROR(INDEX(Filter!$G:$G,_xlfn.AGGREGATE(15,6,Filter!$H:$H,ROW(A17))),"")</f>
        <v>Noise Filter - Target Frequenzies</v>
      </c>
      <c r="E17" t="str">
        <v>Smoothing</v>
      </c>
    </row>
    <row r="18" spans="1:5" x14ac:dyDescent="0.35">
      <c r="A18" s="6"/>
      <c r="C18" t="str" cm="1">
        <f t="array" ref="C18">IFERROR(INDEX(Filter!$B:$B,_xlfn.AGGREGATE(15,6,Filter!$C:$C,ROW(A18))),"")</f>
        <v/>
      </c>
      <c r="D18" t="str" cm="1">
        <f t="array" ref="D18">IFERROR(INDEX(Filter!$G:$G,_xlfn.AGGREGATE(15,6,Filter!$H:$H,ROW(A18))),"")</f>
        <v>Record (Telemetrie)</v>
      </c>
      <c r="E18" t="str">
        <v>Soft Limiter - Dampening range</v>
      </c>
    </row>
    <row r="19" spans="1:5" x14ac:dyDescent="0.35">
      <c r="C19" t="str" cm="1">
        <f t="array" ref="C19">IFERROR(INDEX(Filter!$B:$B,_xlfn.AGGREGATE(15,6,Filter!$C:$C,ROW(A19))),"")</f>
        <v/>
      </c>
      <c r="D19" t="str" cm="1">
        <f t="array" ref="D19">IFERROR(INDEX(Filter!$G:$G,_xlfn.AGGREGATE(15,6,Filter!$H:$H,ROW(A19))),"")</f>
        <v>Response Curve - Dead zone (Percent)</v>
      </c>
      <c r="E19" t="str">
        <v>Soft Limiter - Dynamic input range compression</v>
      </c>
    </row>
    <row r="20" spans="1:5" x14ac:dyDescent="0.35">
      <c r="A20" s="8"/>
      <c r="C20" t="str" cm="1">
        <f t="array" ref="C20">IFERROR(INDEX(Filter!$B:$B,_xlfn.AGGREGATE(15,6,Filter!$C:$C,ROW(A20))),"")</f>
        <v/>
      </c>
      <c r="D20" t="str" cm="1">
        <f t="array" ref="D20">IFERROR(INDEX(Filter!$G:$G,_xlfn.AGGREGATE(15,6,Filter!$H:$H,ROW(A20))),"")</f>
        <v>Response Curve - Dead Zone exit kick (Percent)</v>
      </c>
      <c r="E20" t="str">
        <v>Washout (Return to Center)</v>
      </c>
    </row>
    <row r="21" spans="1:5" ht="14.5" customHeight="1" x14ac:dyDescent="0.35">
      <c r="A21" s="6"/>
      <c r="C21" t="str" cm="1">
        <f t="array" ref="C21">IFERROR(INDEX(Filter!$B:$B,_xlfn.AGGREGATE(15,6,Filter!$C:$C,ROW(A21))),"")</f>
        <v/>
      </c>
      <c r="D21" t="str" cm="1">
        <f t="array" ref="D21">IFERROR(INDEX(Filter!$G:$G,_xlfn.AGGREGATE(15,6,Filter!$H:$H,ROW(A21))),"")</f>
        <v>Response Curve - Dead Zone exit smoothing (Percent)</v>
      </c>
    </row>
    <row r="22" spans="1:5" x14ac:dyDescent="0.35">
      <c r="A22" s="6"/>
      <c r="C22" t="str" cm="1">
        <f t="array" ref="C22">IFERROR(INDEX(Filter!$B:$B,_xlfn.AGGREGATE(15,6,Filter!$C:$C,ROW(A22))),"")</f>
        <v/>
      </c>
      <c r="D22" t="str" cm="1">
        <f t="array" ref="D22">IFERROR(INDEX(Filter!$G:$G,_xlfn.AGGREGATE(15,6,Filter!$H:$H,ROW(A22))),"")</f>
        <v>Response Curve - Flip output sign</v>
      </c>
    </row>
    <row r="23" spans="1:5" x14ac:dyDescent="0.35">
      <c r="C23" t="str" cm="1">
        <f t="array" ref="C23">IFERROR(INDEX(Filter!$B:$B,_xlfn.AGGREGATE(15,6,Filter!$C:$C,ROW(A23))),"")</f>
        <v/>
      </c>
      <c r="D23" t="str" cm="1">
        <f t="array" ref="D23">IFERROR(INDEX(Filter!$G:$G,_xlfn.AGGREGATE(15,6,Filter!$H:$H,ROW(A23))),"")</f>
        <v>Response Curve - Gamma Factor</v>
      </c>
    </row>
    <row r="24" spans="1:5" ht="14.5" customHeight="1" x14ac:dyDescent="0.35">
      <c r="A24" s="8"/>
      <c r="C24" t="str" cm="1">
        <f t="array" ref="C24">IFERROR(INDEX(Filter!$B:$B,_xlfn.AGGREGATE(15,6,Filter!$C:$C,ROW(A24))),"")</f>
        <v/>
      </c>
      <c r="D24" t="str" cm="1">
        <f t="array" ref="D24">IFERROR(INDEX(Filter!$G:$G,_xlfn.AGGREGATE(15,6,Filter!$H:$H,ROW(A24))),"")</f>
        <v>Secondary Plattform Gain</v>
      </c>
    </row>
    <row r="25" spans="1:5" x14ac:dyDescent="0.35">
      <c r="C25" t="str" cm="1">
        <f t="array" ref="C25">IFERROR(INDEX(Filter!$B:$B,_xlfn.AGGREGATE(15,6,Filter!$C:$C,ROW(A25))),"")</f>
        <v/>
      </c>
      <c r="D25" t="str" cm="1">
        <f t="array" ref="D25">IFERROR(INDEX(Filter!$G:$G,_xlfn.AGGREGATE(15,6,Filter!$H:$H,ROW(A25))),"")</f>
        <v>Secondary Surge Gain</v>
      </c>
    </row>
    <row r="26" spans="1:5" x14ac:dyDescent="0.35">
      <c r="C26" t="str" cm="1">
        <f t="array" ref="C26">IFERROR(INDEX(Filter!$B:$B,_xlfn.AGGREGATE(15,6,Filter!$C:$C,ROW(A26))),"")</f>
        <v/>
      </c>
      <c r="D26" t="str" cm="1">
        <f t="array" ref="D26">IFERROR(INDEX(Filter!$G:$G,_xlfn.AGGREGATE(15,6,Filter!$H:$H,ROW(A26))),"")</f>
        <v>Smoothing</v>
      </c>
    </row>
    <row r="27" spans="1:5" x14ac:dyDescent="0.35">
      <c r="A27" s="8"/>
      <c r="C27" t="str" cm="1">
        <f t="array" ref="C27">IFERROR(INDEX(Filter!$B:$B,_xlfn.AGGREGATE(15,6,Filter!$C:$C,ROW(A27))),"")</f>
        <v/>
      </c>
      <c r="D27" t="str" cm="1">
        <f t="array" ref="D27">IFERROR(INDEX(Filter!$G:$G,_xlfn.AGGREGATE(15,6,Filter!$H:$H,ROW(A27))),"")</f>
        <v>Soft Limiter - Dampening range</v>
      </c>
    </row>
    <row r="28" spans="1:5" x14ac:dyDescent="0.35">
      <c r="C28" t="str" cm="1">
        <f t="array" ref="C28">IFERROR(INDEX(Filter!$B:$B,_xlfn.AGGREGATE(15,6,Filter!$C:$C,ROW(A28))),"")</f>
        <v/>
      </c>
      <c r="D28" t="str" cm="1">
        <f t="array" ref="D28">IFERROR(INDEX(Filter!$G:$G,_xlfn.AGGREGATE(15,6,Filter!$H:$H,ROW(A28))),"")</f>
        <v>Soft Limiter - Dynamic input range compression</v>
      </c>
    </row>
    <row r="29" spans="1:5" x14ac:dyDescent="0.35">
      <c r="C29" t="str" cm="1">
        <f t="array" ref="C29">IFERROR(INDEX(Filter!$B:$B,_xlfn.AGGREGATE(15,6,Filter!$C:$C,ROW(A29))),"")</f>
        <v/>
      </c>
      <c r="D29" t="str" cm="1">
        <f t="array" ref="D29">IFERROR(INDEX(Filter!$G:$G,_xlfn.AGGREGATE(15,6,Filter!$H:$H,ROW(A29))),"")</f>
        <v>Source Algorythm - Traction loss angle - Lateral velocity</v>
      </c>
    </row>
    <row r="30" spans="1:5" ht="14.5" customHeight="1" x14ac:dyDescent="0.35">
      <c r="C30" t="str" cm="1">
        <f t="array" ref="C30">IFERROR(INDEX(Filter!$B:$B,_xlfn.AGGREGATE(15,6,Filter!$C:$C,ROW(A30))),"")</f>
        <v/>
      </c>
      <c r="D30" t="str" cm="1">
        <f t="array" ref="D30">IFERROR(INDEX(Filter!$G:$G,_xlfn.AGGREGATE(15,6,Filter!$H:$H,ROW(A30))),"")</f>
        <v>Surge Gain</v>
      </c>
    </row>
    <row r="31" spans="1:5" ht="14.5" customHeight="1" x14ac:dyDescent="0.35">
      <c r="C31" t="str" cm="1">
        <f t="array" ref="C31">IFERROR(INDEX(Filter!$B:$B,_xlfn.AGGREGATE(15,6,Filter!$C:$C,ROW(A31))),"")</f>
        <v/>
      </c>
      <c r="D31" t="str" cm="1">
        <f t="array" ref="D31">IFERROR(INDEX(Filter!$G:$G,_xlfn.AGGREGATE(15,6,Filter!$H:$H,ROW(A31))),"")</f>
        <v>Synchronize filtering and input limit settings with Heave</v>
      </c>
    </row>
    <row r="32" spans="1:5" x14ac:dyDescent="0.35">
      <c r="C32" t="str" cm="1">
        <f t="array" ref="C32">IFERROR(INDEX(Filter!$B:$B,_xlfn.AGGREGATE(15,6,Filter!$C:$C,ROW(A32))),"")</f>
        <v/>
      </c>
      <c r="D32" t="str" cm="1">
        <f t="array" ref="D32">IFERROR(INDEX(Filter!$G:$G,_xlfn.AGGREGATE(15,6,Filter!$H:$H,ROW(A32))),"")</f>
        <v>Synchronize filtering and input limit settings with Pitch</v>
      </c>
    </row>
    <row r="33" spans="1:4" x14ac:dyDescent="0.35">
      <c r="A33" s="8"/>
      <c r="C33" t="str" cm="1">
        <f t="array" ref="C33">IFERROR(INDEX(Filter!$B:$B,_xlfn.AGGREGATE(15,6,Filter!$C:$C,ROW(A33))),"")</f>
        <v/>
      </c>
      <c r="D33" t="str" cm="1">
        <f t="array" ref="D33">IFERROR(INDEX(Filter!$G:$G,_xlfn.AGGREGATE(15,6,Filter!$H:$H,ROW(A33))),"")</f>
        <v>Synchronize filtering and input limit settings with Roll</v>
      </c>
    </row>
    <row r="34" spans="1:4" x14ac:dyDescent="0.35">
      <c r="A34" s="8"/>
      <c r="C34" t="str" cm="1">
        <f t="array" ref="C34">IFERROR(INDEX(Filter!$B:$B,_xlfn.AGGREGATE(15,6,Filter!$C:$C,ROW(A34))),"")</f>
        <v/>
      </c>
      <c r="D34" t="str" cm="1">
        <f t="array" ref="D34">IFERROR(INDEX(Filter!$G:$G,_xlfn.AGGREGATE(15,6,Filter!$H:$H,ROW(A34))),"")</f>
        <v>Synchronize filtering and input limit settings with Surge to pitch</v>
      </c>
    </row>
    <row r="35" spans="1:4" x14ac:dyDescent="0.35">
      <c r="A35" s="8"/>
      <c r="C35" t="str" cm="1">
        <f t="array" ref="C35">IFERROR(INDEX(Filter!$B:$B,_xlfn.AGGREGATE(15,6,Filter!$C:$C,ROW(A35))),"")</f>
        <v/>
      </c>
      <c r="D35" t="str" cm="1">
        <f t="array" ref="D35">IFERROR(INDEX(Filter!$G:$G,_xlfn.AGGREGATE(15,6,Filter!$H:$H,ROW(A35))),"")</f>
        <v>Synchronize filtering and input limit settings with Sway to Roll</v>
      </c>
    </row>
    <row r="36" spans="1:4" x14ac:dyDescent="0.35">
      <c r="A36" s="8"/>
      <c r="C36" t="str" cm="1">
        <f t="array" ref="C36">IFERROR(INDEX(Filter!$B:$B,_xlfn.AGGREGATE(15,6,Filter!$C:$C,ROW(A36))),"")</f>
        <v/>
      </c>
      <c r="D36" t="str" cm="1">
        <f t="array" ref="D36">IFERROR(INDEX(Filter!$G:$G,_xlfn.AGGREGATE(15,6,Filter!$H:$H,ROW(A36))),"")</f>
        <v>Traction Loss Gain</v>
      </c>
    </row>
    <row r="37" spans="1:4" x14ac:dyDescent="0.35">
      <c r="A37" s="8"/>
      <c r="C37" t="str" cm="1">
        <f t="array" ref="C37">IFERROR(INDEX(Filter!$B:$B,_xlfn.AGGREGATE(15,6,Filter!$C:$C,ROW(A37))),"")</f>
        <v/>
      </c>
      <c r="D37" t="str" cm="1">
        <f t="array" ref="D37">IFERROR(INDEX(Filter!$G:$G,_xlfn.AGGREGATE(15,6,Filter!$H:$H,ROW(A37))),"")</f>
        <v>Use turn rate at low speed - Turn rate sensibility</v>
      </c>
    </row>
    <row r="38" spans="1:4" x14ac:dyDescent="0.35">
      <c r="A38" s="8"/>
      <c r="C38" t="str" cm="1">
        <f t="array" ref="C38">IFERROR(INDEX(Filter!$B:$B,_xlfn.AGGREGATE(15,6,Filter!$C:$C,ROW(A38))),"")</f>
        <v/>
      </c>
      <c r="D38" t="str" cm="1">
        <f t="array" ref="D38">IFERROR(INDEX(Filter!$G:$G,_xlfn.AGGREGATE(15,6,Filter!$H:$H,ROW(A38))),"")</f>
        <v>Washout (Return to Center)</v>
      </c>
    </row>
    <row r="39" spans="1:4" x14ac:dyDescent="0.35">
      <c r="A39" s="8"/>
      <c r="C39" t="str" cm="1">
        <f t="array" ref="C39">IFERROR(INDEX(Filter!$B:$B,_xlfn.AGGREGATE(15,6,Filter!$C:$C,ROW(A39))),"")</f>
        <v/>
      </c>
      <c r="D39" t="str" cm="1">
        <f t="array" ref="D39">IFERROR(INDEX(Filter!$G:$G,_xlfn.AGGREGATE(15,6,Filter!$H:$H,ROW(A39))),"")</f>
        <v/>
      </c>
    </row>
    <row r="40" spans="1:4" x14ac:dyDescent="0.35">
      <c r="A40" s="8"/>
      <c r="C40" t="str" cm="1">
        <f t="array" ref="C40">IFERROR(INDEX(Filter!$B:$B,_xlfn.AGGREGATE(15,6,Filter!$C:$C,ROW(A40))),"")</f>
        <v/>
      </c>
      <c r="D40" t="str" cm="1">
        <f t="array" ref="D40">IFERROR(INDEX(Filter!$G:$G,_xlfn.AGGREGATE(15,6,Filter!$H:$H,ROW(A40))),"")</f>
        <v/>
      </c>
    </row>
    <row r="41" spans="1:4" x14ac:dyDescent="0.35">
      <c r="A41" s="10"/>
      <c r="C41" t="str" cm="1">
        <f t="array" ref="C41">IFERROR(INDEX(Filter!$B:$B,_xlfn.AGGREGATE(15,6,Filter!$C:$C,ROW(A41))),"")</f>
        <v/>
      </c>
      <c r="D41" t="str" cm="1">
        <f t="array" ref="D41">IFERROR(INDEX(Filter!$G:$G,_xlfn.AGGREGATE(15,6,Filter!$H:$H,ROW(A41))),"")</f>
        <v/>
      </c>
    </row>
    <row r="42" spans="1:4" x14ac:dyDescent="0.35">
      <c r="C42" t="str" cm="1">
        <f t="array" ref="C42">IFERROR(INDEX(Filter!$B:$B,_xlfn.AGGREGATE(15,6,Filter!$C:$C,ROW(A42))),"")</f>
        <v/>
      </c>
      <c r="D42" t="str" cm="1">
        <f t="array" ref="D42">IFERROR(INDEX(Filter!$G:$G,_xlfn.AGGREGATE(15,6,Filter!$H:$H,ROW(A42))),"")</f>
        <v/>
      </c>
    </row>
    <row r="43" spans="1:4" x14ac:dyDescent="0.35">
      <c r="C43" t="str" cm="1">
        <f t="array" ref="C43">IFERROR(INDEX(Filter!$B:$B,_xlfn.AGGREGATE(15,6,Filter!$C:$C,ROW(A43))),"")</f>
        <v/>
      </c>
      <c r="D43" t="str" cm="1">
        <f t="array" ref="D43">IFERROR(INDEX(Filter!$G:$G,_xlfn.AGGREGATE(15,6,Filter!$H:$H,ROW(A43))),"")</f>
        <v/>
      </c>
    </row>
    <row r="44" spans="1:4" x14ac:dyDescent="0.35">
      <c r="C44" t="str" cm="1">
        <f t="array" ref="C44">IFERROR(INDEX(Filter!$B:$B,_xlfn.AGGREGATE(15,6,Filter!$C:$C,ROW(A44))),"")</f>
        <v/>
      </c>
      <c r="D44" t="str" cm="1">
        <f t="array" ref="D44">IFERROR(INDEX(Filter!$G:$G,_xlfn.AGGREGATE(15,6,Filter!$H:$H,ROW(A44))),"")</f>
        <v/>
      </c>
    </row>
    <row r="45" spans="1:4" x14ac:dyDescent="0.35">
      <c r="C45" t="str" cm="1">
        <f t="array" ref="C45">IFERROR(INDEX(Filter!$B:$B,_xlfn.AGGREGATE(15,6,Filter!$C:$C,ROW(A45))),"")</f>
        <v/>
      </c>
      <c r="D45" t="str" cm="1">
        <f t="array" ref="D45">IFERROR(INDEX(Filter!$G:$G,_xlfn.AGGREGATE(15,6,Filter!$H:$H,ROW(A45))),"")</f>
        <v/>
      </c>
    </row>
    <row r="46" spans="1:4" x14ac:dyDescent="0.35">
      <c r="C46" t="str" cm="1">
        <f t="array" ref="C46">IFERROR(INDEX(Filter!$B:$B,_xlfn.AGGREGATE(15,6,Filter!$C:$C,ROW(A46))),"")</f>
        <v/>
      </c>
      <c r="D46" t="str" cm="1">
        <f t="array" ref="D46">IFERROR(INDEX(Filter!$G:$G,_xlfn.AGGREGATE(15,6,Filter!$H:$H,ROW(A46))),"")</f>
        <v/>
      </c>
    </row>
    <row r="47" spans="1:4" x14ac:dyDescent="0.35">
      <c r="C47" t="str" cm="1">
        <f t="array" ref="C47">IFERROR(INDEX(Filter!$B:$B,_xlfn.AGGREGATE(15,6,Filter!$C:$C,ROW(A47))),"")</f>
        <v/>
      </c>
      <c r="D47" t="str" cm="1">
        <f t="array" ref="D47">IFERROR(INDEX(Filter!$G:$G,_xlfn.AGGREGATE(15,6,Filter!$H:$H,ROW(A47))),"")</f>
        <v/>
      </c>
    </row>
    <row r="48" spans="1:4" x14ac:dyDescent="0.35">
      <c r="C48" t="str" cm="1">
        <f t="array" ref="C48">IFERROR(INDEX(Filter!$B:$B,_xlfn.AGGREGATE(15,6,Filter!$C:$C,ROW(A48))),"")</f>
        <v/>
      </c>
      <c r="D48" t="str" cm="1">
        <f t="array" ref="D48">IFERROR(INDEX(Filter!$G:$G,_xlfn.AGGREGATE(15,6,Filter!$H:$H,ROW(A48))),"")</f>
        <v/>
      </c>
    </row>
    <row r="49" spans="3:4" x14ac:dyDescent="0.35">
      <c r="C49" t="str" cm="1">
        <f t="array" ref="C49">IFERROR(INDEX(Filter!$B:$B,_xlfn.AGGREGATE(15,6,Filter!$C:$C,ROW(A49))),"")</f>
        <v/>
      </c>
      <c r="D49" t="str" cm="1">
        <f t="array" ref="D49">IFERROR(INDEX(Filter!$G:$G,_xlfn.AGGREGATE(15,6,Filter!$H:$H,ROW(A49))),"")</f>
        <v/>
      </c>
    </row>
    <row r="50" spans="3:4" x14ac:dyDescent="0.35">
      <c r="C50" t="str" cm="1">
        <f t="array" ref="C50">IFERROR(INDEX(Filter!$B:$B,_xlfn.AGGREGATE(15,6,Filter!$C:$C,ROW(A50))),"")</f>
        <v/>
      </c>
      <c r="D50" t="str" cm="1">
        <f t="array" ref="D50">IFERROR(INDEX(Filter!$G:$G,_xlfn.AGGREGATE(15,6,Filter!$H:$H,ROW(A50))),"")</f>
        <v/>
      </c>
    </row>
    <row r="51" spans="3:4" x14ac:dyDescent="0.35">
      <c r="C51" t="str" cm="1">
        <f t="array" ref="C51">IFERROR(INDEX(Filter!$B:$B,_xlfn.AGGREGATE(15,6,Filter!$C:$C,ROW(A51))),"")</f>
        <v/>
      </c>
      <c r="D51" t="str" cm="1">
        <f t="array" ref="D51">IFERROR(INDEX(Filter!$G:$G,_xlfn.AGGREGATE(15,6,Filter!$H:$H,ROW(A51))),"")</f>
        <v/>
      </c>
    </row>
    <row r="52" spans="3:4" x14ac:dyDescent="0.35">
      <c r="C52" t="str" cm="1">
        <f t="array" ref="C52">IFERROR(INDEX(Filter!$B:$B,_xlfn.AGGREGATE(15,6,Filter!$C:$C,ROW(A52))),"")</f>
        <v/>
      </c>
      <c r="D52" t="str" cm="1">
        <f t="array" ref="D52">IFERROR(INDEX(Filter!$G:$G,_xlfn.AGGREGATE(15,6,Filter!$H:$H,ROW(A52))),"")</f>
        <v/>
      </c>
    </row>
    <row r="53" spans="3:4" x14ac:dyDescent="0.35">
      <c r="C53" t="str" cm="1">
        <f t="array" ref="C53">IFERROR(INDEX(Filter!$B:$B,_xlfn.AGGREGATE(15,6,Filter!$C:$C,ROW(A53))),"")</f>
        <v/>
      </c>
      <c r="D53" t="str" cm="1">
        <f t="array" ref="D53">IFERROR(INDEX(Filter!$G:$G,_xlfn.AGGREGATE(15,6,Filter!$H:$H,ROW(A53))),"")</f>
        <v/>
      </c>
    </row>
    <row r="54" spans="3:4" x14ac:dyDescent="0.35">
      <c r="C54" t="str" cm="1">
        <f t="array" ref="C54">IFERROR(INDEX(Filter!$B:$B,_xlfn.AGGREGATE(15,6,Filter!$C:$C,ROW(A54))),"")</f>
        <v/>
      </c>
      <c r="D54" t="str" cm="1">
        <f t="array" ref="D54">IFERROR(INDEX(Filter!$G:$G,_xlfn.AGGREGATE(15,6,Filter!$H:$H,ROW(A54))),"")</f>
        <v/>
      </c>
    </row>
    <row r="55" spans="3:4" x14ac:dyDescent="0.35">
      <c r="C55" t="str" cm="1">
        <f t="array" ref="C55">IFERROR(INDEX(Filter!$B:$B,_xlfn.AGGREGATE(15,6,Filter!$C:$C,ROW(A55))),"")</f>
        <v/>
      </c>
      <c r="D55" t="str" cm="1">
        <f t="array" ref="D55">IFERROR(INDEX(Filter!$G:$G,_xlfn.AGGREGATE(15,6,Filter!$H:$H,ROW(A55))),"")</f>
        <v/>
      </c>
    </row>
    <row r="56" spans="3:4" x14ac:dyDescent="0.35">
      <c r="C56" t="str" cm="1">
        <f t="array" ref="C56">IFERROR(INDEX(Filter!$B:$B,_xlfn.AGGREGATE(15,6,Filter!$C:$C,ROW(A56))),"")</f>
        <v/>
      </c>
      <c r="D56" t="str" cm="1">
        <f t="array" ref="D56">IFERROR(INDEX(Filter!$G:$G,_xlfn.AGGREGATE(15,6,Filter!$H:$H,ROW(A56))),"")</f>
        <v/>
      </c>
    </row>
    <row r="57" spans="3:4" x14ac:dyDescent="0.35">
      <c r="C57" t="str" cm="1">
        <f t="array" ref="C57">IFERROR(INDEX(Filter!$B:$B,_xlfn.AGGREGATE(15,6,Filter!$C:$C,ROW(A57))),"")</f>
        <v/>
      </c>
      <c r="D57" t="str" cm="1">
        <f t="array" ref="D57">IFERROR(INDEX(Filter!$G:$G,_xlfn.AGGREGATE(15,6,Filter!$H:$H,ROW(A57))),"")</f>
        <v/>
      </c>
    </row>
    <row r="58" spans="3:4" x14ac:dyDescent="0.35">
      <c r="C58" t="str" cm="1">
        <f t="array" ref="C58">IFERROR(INDEX(Filter!$B:$B,_xlfn.AGGREGATE(15,6,Filter!$C:$C,ROW(A58))),"")</f>
        <v/>
      </c>
      <c r="D58" t="str" cm="1">
        <f t="array" ref="D58">IFERROR(INDEX(Filter!$G:$G,_xlfn.AGGREGATE(15,6,Filter!$H:$H,ROW(A58))),"")</f>
        <v/>
      </c>
    </row>
    <row r="59" spans="3:4" x14ac:dyDescent="0.35">
      <c r="C59" t="str" cm="1">
        <f t="array" ref="C59">IFERROR(INDEX(Filter!$B:$B,_xlfn.AGGREGATE(15,6,Filter!$C:$C,ROW(A59))),"")</f>
        <v/>
      </c>
      <c r="D59" t="str" cm="1">
        <f t="array" ref="D59">IFERROR(INDEX(Filter!$G:$G,_xlfn.AGGREGATE(15,6,Filter!$H:$H,ROW(A59))),"")</f>
        <v/>
      </c>
    </row>
    <row r="60" spans="3:4" x14ac:dyDescent="0.35">
      <c r="C60" t="str" cm="1">
        <f t="array" ref="C60">IFERROR(INDEX(Filter!$B:$B,_xlfn.AGGREGATE(15,6,Filter!$C:$C,ROW(A60))),"")</f>
        <v/>
      </c>
      <c r="D60" t="str" cm="1">
        <f t="array" ref="D60">IFERROR(INDEX(Filter!$G:$G,_xlfn.AGGREGATE(15,6,Filter!$H:$H,ROW(A60))),"")</f>
        <v/>
      </c>
    </row>
    <row r="61" spans="3:4" x14ac:dyDescent="0.35">
      <c r="C61" t="str" cm="1">
        <f t="array" ref="C61">IFERROR(INDEX(Filter!$B:$B,_xlfn.AGGREGATE(15,6,Filter!$C:$C,ROW(A61))),"")</f>
        <v/>
      </c>
      <c r="D61" t="str" cm="1">
        <f t="array" ref="D61">IFERROR(INDEX(Filter!$G:$G,_xlfn.AGGREGATE(15,6,Filter!$H:$H,ROW(A61))),"")</f>
        <v/>
      </c>
    </row>
    <row r="62" spans="3:4" x14ac:dyDescent="0.35">
      <c r="C62" t="str" cm="1">
        <f t="array" ref="C62">IFERROR(INDEX(Filter!$B:$B,_xlfn.AGGREGATE(15,6,Filter!$C:$C,ROW(A62))),"")</f>
        <v/>
      </c>
      <c r="D62" t="str" cm="1">
        <f t="array" ref="D62">IFERROR(INDEX(Filter!$G:$G,_xlfn.AGGREGATE(15,6,Filter!$H:$H,ROW(A62))),"")</f>
        <v/>
      </c>
    </row>
    <row r="63" spans="3:4" x14ac:dyDescent="0.35">
      <c r="C63" t="str" cm="1">
        <f t="array" ref="C63">IFERROR(INDEX(Filter!$B:$B,_xlfn.AGGREGATE(15,6,Filter!$C:$C,ROW(A63))),"")</f>
        <v/>
      </c>
      <c r="D63" t="str" cm="1">
        <f t="array" ref="D63">IFERROR(INDEX(Filter!$G:$G,_xlfn.AGGREGATE(15,6,Filter!$H:$H,ROW(A63))),"")</f>
        <v/>
      </c>
    </row>
    <row r="64" spans="3:4" x14ac:dyDescent="0.35">
      <c r="C64" t="str" cm="1">
        <f t="array" ref="C64">IFERROR(INDEX(Filter!$B:$B,_xlfn.AGGREGATE(15,6,Filter!$C:$C,ROW(A64))),"")</f>
        <v/>
      </c>
      <c r="D64" t="str" cm="1">
        <f t="array" ref="D64">IFERROR(INDEX(Filter!$G:$G,_xlfn.AGGREGATE(15,6,Filter!$H:$H,ROW(A64))),"")</f>
        <v/>
      </c>
    </row>
    <row r="65" spans="3:4" x14ac:dyDescent="0.35">
      <c r="C65" t="str" cm="1">
        <f t="array" ref="C65">IFERROR(INDEX(Filter!$B:$B,_xlfn.AGGREGATE(15,6,Filter!$C:$C,ROW(A65))),"")</f>
        <v/>
      </c>
      <c r="D65" t="str" cm="1">
        <f t="array" ref="D65">IFERROR(INDEX(Filter!$G:$G,_xlfn.AGGREGATE(15,6,Filter!$H:$H,ROW(A65))),"")</f>
        <v/>
      </c>
    </row>
    <row r="66" spans="3:4" x14ac:dyDescent="0.35">
      <c r="C66" t="str" cm="1">
        <f t="array" ref="C66">IFERROR(INDEX(Filter!$B:$B,_xlfn.AGGREGATE(15,6,Filter!$C:$C,ROW(A66))),"")</f>
        <v/>
      </c>
      <c r="D66" t="str" cm="1">
        <f t="array" ref="D66">IFERROR(INDEX(Filter!$G:$G,_xlfn.AGGREGATE(15,6,Filter!$H:$H,ROW(A66))),"")</f>
        <v/>
      </c>
    </row>
    <row r="67" spans="3:4" x14ac:dyDescent="0.35">
      <c r="C67" t="str" cm="1">
        <f t="array" ref="C67">IFERROR(INDEX(Filter!$B:$B,_xlfn.AGGREGATE(15,6,Filter!$C:$C,ROW(A67))),"")</f>
        <v/>
      </c>
      <c r="D67" t="str" cm="1">
        <f t="array" ref="D67">IFERROR(INDEX(Filter!$G:$G,_xlfn.AGGREGATE(15,6,Filter!$H:$H,ROW(A67))),"")</f>
        <v/>
      </c>
    </row>
    <row r="68" spans="3:4" x14ac:dyDescent="0.35">
      <c r="C68" t="str" cm="1">
        <f t="array" ref="C68">IFERROR(INDEX(Filter!$B:$B,_xlfn.AGGREGATE(15,6,Filter!$C:$C,ROW(A68))),"")</f>
        <v/>
      </c>
      <c r="D68" t="str" cm="1">
        <f t="array" ref="D68">IFERROR(INDEX(Filter!$G:$G,_xlfn.AGGREGATE(15,6,Filter!$H:$H,ROW(A68))),"")</f>
        <v/>
      </c>
    </row>
    <row r="69" spans="3:4" x14ac:dyDescent="0.35">
      <c r="C69" t="str" cm="1">
        <f t="array" ref="C69">IFERROR(INDEX(Filter!$B:$B,_xlfn.AGGREGATE(15,6,Filter!$C:$C,ROW(A69))),"")</f>
        <v/>
      </c>
      <c r="D69" t="str" cm="1">
        <f t="array" ref="D69">IFERROR(INDEX(Filter!$G:$G,_xlfn.AGGREGATE(15,6,Filter!$H:$H,ROW(A69))),"")</f>
        <v/>
      </c>
    </row>
    <row r="70" spans="3:4" x14ac:dyDescent="0.35">
      <c r="C70" t="str" cm="1">
        <f t="array" ref="C70">IFERROR(INDEX(Filter!$B:$B,_xlfn.AGGREGATE(15,6,Filter!$C:$C,ROW(A70))),"")</f>
        <v/>
      </c>
      <c r="D70" t="str" cm="1">
        <f t="array" ref="D70">IFERROR(INDEX(Filter!$G:$G,_xlfn.AGGREGATE(15,6,Filter!$H:$H,ROW(A70))),"")</f>
        <v/>
      </c>
    </row>
    <row r="71" spans="3:4" x14ac:dyDescent="0.35">
      <c r="C71" t="str" cm="1">
        <f t="array" ref="C71">IFERROR(INDEX(Filter!$B:$B,_xlfn.AGGREGATE(15,6,Filter!$C:$C,ROW(A71))),"")</f>
        <v/>
      </c>
      <c r="D71" t="str" cm="1">
        <f t="array" ref="D71">IFERROR(INDEX(Filter!$G:$G,_xlfn.AGGREGATE(15,6,Filter!$H:$H,ROW(A71))),"")</f>
        <v/>
      </c>
    </row>
    <row r="72" spans="3:4" x14ac:dyDescent="0.35">
      <c r="C72" t="str" cm="1">
        <f t="array" ref="C72">IFERROR(INDEX(Filter!$B:$B,_xlfn.AGGREGATE(15,6,Filter!$C:$C,ROW(A72))),"")</f>
        <v/>
      </c>
      <c r="D72" t="str" cm="1">
        <f t="array" ref="D72">IFERROR(INDEX(Filter!$G:$G,_xlfn.AGGREGATE(15,6,Filter!$H:$H,ROW(A72))),"")</f>
        <v/>
      </c>
    </row>
    <row r="73" spans="3:4" x14ac:dyDescent="0.35">
      <c r="C73" t="str" cm="1">
        <f t="array" ref="C73">IFERROR(INDEX(Filter!$B:$B,_xlfn.AGGREGATE(15,6,Filter!$C:$C,ROW(A73))),"")</f>
        <v/>
      </c>
      <c r="D73" t="str" cm="1">
        <f t="array" ref="D73">IFERROR(INDEX(Filter!$G:$G,_xlfn.AGGREGATE(15,6,Filter!$H:$H,ROW(A73))),"")</f>
        <v/>
      </c>
    </row>
    <row r="74" spans="3:4" x14ac:dyDescent="0.35">
      <c r="C74" t="str" cm="1">
        <f t="array" ref="C74">IFERROR(INDEX(Filter!$B:$B,_xlfn.AGGREGATE(15,6,Filter!$C:$C,ROW(A74))),"")</f>
        <v/>
      </c>
      <c r="D74" t="str" cm="1">
        <f t="array" ref="D74">IFERROR(INDEX(Filter!$G:$G,_xlfn.AGGREGATE(15,6,Filter!$H:$H,ROW(A74))),"")</f>
        <v/>
      </c>
    </row>
    <row r="75" spans="3:4" x14ac:dyDescent="0.35">
      <c r="C75" t="str" cm="1">
        <f t="array" ref="C75">IFERROR(INDEX(Filter!$B:$B,_xlfn.AGGREGATE(15,6,Filter!$C:$C,ROW(A75))),"")</f>
        <v/>
      </c>
      <c r="D75" t="str" cm="1">
        <f t="array" ref="D75">IFERROR(INDEX(Filter!$G:$G,_xlfn.AGGREGATE(15,6,Filter!$H:$H,ROW(A75))),"")</f>
        <v/>
      </c>
    </row>
    <row r="76" spans="3:4" x14ac:dyDescent="0.35">
      <c r="C76" t="str" cm="1">
        <f t="array" ref="C76">IFERROR(INDEX(Filter!$B:$B,_xlfn.AGGREGATE(15,6,Filter!$C:$C,ROW(A76))),"")</f>
        <v/>
      </c>
      <c r="D76" t="str" cm="1">
        <f t="array" ref="D76">IFERROR(INDEX(Filter!$G:$G,_xlfn.AGGREGATE(15,6,Filter!$H:$H,ROW(A76))),"")</f>
        <v/>
      </c>
    </row>
    <row r="77" spans="3:4" x14ac:dyDescent="0.35">
      <c r="C77" t="str" cm="1">
        <f t="array" ref="C77">IFERROR(INDEX(Filter!$B:$B,_xlfn.AGGREGATE(15,6,Filter!$C:$C,ROW(A77))),"")</f>
        <v/>
      </c>
      <c r="D77" t="str" cm="1">
        <f t="array" ref="D77">IFERROR(INDEX(Filter!$G:$G,_xlfn.AGGREGATE(15,6,Filter!$H:$H,ROW(A77))),"")</f>
        <v/>
      </c>
    </row>
    <row r="78" spans="3:4" x14ac:dyDescent="0.35">
      <c r="C78" t="str" cm="1">
        <f t="array" ref="C78">IFERROR(INDEX(Filter!$B:$B,_xlfn.AGGREGATE(15,6,Filter!$C:$C,ROW(A78))),"")</f>
        <v/>
      </c>
      <c r="D78" t="str" cm="1">
        <f t="array" ref="D78">IFERROR(INDEX(Filter!$G:$G,_xlfn.AGGREGATE(15,6,Filter!$H:$H,ROW(A78))),"")</f>
        <v/>
      </c>
    </row>
    <row r="79" spans="3:4" x14ac:dyDescent="0.35">
      <c r="C79" t="str" cm="1">
        <f t="array" ref="C79">IFERROR(INDEX(Filter!$B:$B,_xlfn.AGGREGATE(15,6,Filter!$C:$C,ROW(A79))),"")</f>
        <v/>
      </c>
      <c r="D79" t="str" cm="1">
        <f t="array" ref="D79">IFERROR(INDEX(Filter!$G:$G,_xlfn.AGGREGATE(15,6,Filter!$H:$H,ROW(A79))),"")</f>
        <v/>
      </c>
    </row>
    <row r="80" spans="3:4" x14ac:dyDescent="0.35">
      <c r="C80" t="str" cm="1">
        <f t="array" ref="C80">IFERROR(INDEX(Filter!$B:$B,_xlfn.AGGREGATE(15,6,Filter!$C:$C,ROW(A80))),"")</f>
        <v/>
      </c>
      <c r="D80" t="str" cm="1">
        <f t="array" ref="D80">IFERROR(INDEX(Filter!$G:$G,_xlfn.AGGREGATE(15,6,Filter!$H:$H,ROW(A80))),"")</f>
        <v/>
      </c>
    </row>
    <row r="81" spans="3:4" x14ac:dyDescent="0.35">
      <c r="C81" t="str" cm="1">
        <f t="array" ref="C81">IFERROR(INDEX(Filter!$B:$B,_xlfn.AGGREGATE(15,6,Filter!$C:$C,ROW(A81))),"")</f>
        <v/>
      </c>
      <c r="D81" t="str" cm="1">
        <f t="array" ref="D81">IFERROR(INDEX(Filter!$G:$G,_xlfn.AGGREGATE(15,6,Filter!$H:$H,ROW(A81))),"")</f>
        <v/>
      </c>
    </row>
    <row r="82" spans="3:4" x14ac:dyDescent="0.35">
      <c r="C82" t="str" cm="1">
        <f t="array" ref="C82">IFERROR(INDEX(Filter!$B:$B,_xlfn.AGGREGATE(15,6,Filter!$C:$C,ROW(A82))),"")</f>
        <v/>
      </c>
      <c r="D82" t="str" cm="1">
        <f t="array" ref="D82">IFERROR(INDEX(Filter!$G:$G,_xlfn.AGGREGATE(15,6,Filter!$H:$H,ROW(A82))),"")</f>
        <v/>
      </c>
    </row>
    <row r="83" spans="3:4" x14ac:dyDescent="0.35">
      <c r="C83" t="str" cm="1">
        <f t="array" ref="C83">IFERROR(INDEX(Filter!$B:$B,_xlfn.AGGREGATE(15,6,Filter!$C:$C,ROW(A83))),"")</f>
        <v/>
      </c>
      <c r="D83" t="str" cm="1">
        <f t="array" ref="D83">IFERROR(INDEX(Filter!$G:$G,_xlfn.AGGREGATE(15,6,Filter!$H:$H,ROW(A83))),"")</f>
        <v/>
      </c>
    </row>
    <row r="84" spans="3:4" x14ac:dyDescent="0.35">
      <c r="C84" t="str" cm="1">
        <f t="array" ref="C84">IFERROR(INDEX(Filter!$B:$B,_xlfn.AGGREGATE(15,6,Filter!$C:$C,ROW(A84))),"")</f>
        <v/>
      </c>
      <c r="D84" t="str" cm="1">
        <f t="array" ref="D84">IFERROR(INDEX(Filter!$G:$G,_xlfn.AGGREGATE(15,6,Filter!$H:$H,ROW(A84))),"")</f>
        <v/>
      </c>
    </row>
    <row r="85" spans="3:4" x14ac:dyDescent="0.35">
      <c r="C85" t="str" cm="1">
        <f t="array" ref="C85">IFERROR(INDEX(Filter!$B:$B,_xlfn.AGGREGATE(15,6,Filter!$C:$C,ROW(A85))),"")</f>
        <v/>
      </c>
      <c r="D85" t="str" cm="1">
        <f t="array" ref="D85">IFERROR(INDEX(Filter!$G:$G,_xlfn.AGGREGATE(15,6,Filter!$H:$H,ROW(A85))),"")</f>
        <v/>
      </c>
    </row>
    <row r="86" spans="3:4" x14ac:dyDescent="0.35">
      <c r="C86" t="str" cm="1">
        <f t="array" ref="C86">IFERROR(INDEX(Filter!$B:$B,_xlfn.AGGREGATE(15,6,Filter!$C:$C,ROW(A86))),"")</f>
        <v/>
      </c>
      <c r="D86" t="str" cm="1">
        <f t="array" ref="D86">IFERROR(INDEX(Filter!$G:$G,_xlfn.AGGREGATE(15,6,Filter!$H:$H,ROW(A86))),"")</f>
        <v/>
      </c>
    </row>
    <row r="87" spans="3:4" x14ac:dyDescent="0.35">
      <c r="C87" t="str" cm="1">
        <f t="array" ref="C87">IFERROR(INDEX(Filter!$B:$B,_xlfn.AGGREGATE(15,6,Filter!$C:$C,ROW(A87))),"")</f>
        <v/>
      </c>
      <c r="D87" t="str" cm="1">
        <f t="array" ref="D87">IFERROR(INDEX(Filter!$G:$G,_xlfn.AGGREGATE(15,6,Filter!$H:$H,ROW(A87))),"")</f>
        <v/>
      </c>
    </row>
    <row r="88" spans="3:4" x14ac:dyDescent="0.35">
      <c r="C88" t="str" cm="1">
        <f t="array" ref="C88">IFERROR(INDEX(Filter!$B:$B,_xlfn.AGGREGATE(15,6,Filter!$C:$C,ROW(A88))),"")</f>
        <v/>
      </c>
      <c r="D88" t="str" cm="1">
        <f t="array" ref="D88">IFERROR(INDEX(Filter!$G:$G,_xlfn.AGGREGATE(15,6,Filter!$H:$H,ROW(A88))),"")</f>
        <v/>
      </c>
    </row>
    <row r="89" spans="3:4" x14ac:dyDescent="0.35">
      <c r="C89" t="str" cm="1">
        <f t="array" ref="C89">IFERROR(INDEX(Filter!$B:$B,_xlfn.AGGREGATE(15,6,Filter!$C:$C,ROW(A89))),"")</f>
        <v/>
      </c>
      <c r="D89" t="str" cm="1">
        <f t="array" ref="D89">IFERROR(INDEX(Filter!$G:$G,_xlfn.AGGREGATE(15,6,Filter!$H:$H,ROW(A89))),"")</f>
        <v/>
      </c>
    </row>
    <row r="90" spans="3:4" x14ac:dyDescent="0.35">
      <c r="C90" t="str" cm="1">
        <f t="array" ref="C90">IFERROR(INDEX(Filter!$B:$B,_xlfn.AGGREGATE(15,6,Filter!$C:$C,ROW(A90))),"")</f>
        <v/>
      </c>
      <c r="D90" t="str" cm="1">
        <f t="array" ref="D90">IFERROR(INDEX(Filter!$G:$G,_xlfn.AGGREGATE(15,6,Filter!$H:$H,ROW(A90))),"")</f>
        <v/>
      </c>
    </row>
    <row r="91" spans="3:4" x14ac:dyDescent="0.35">
      <c r="C91" t="str" cm="1">
        <f t="array" ref="C91">IFERROR(INDEX(Filter!$B:$B,_xlfn.AGGREGATE(15,6,Filter!$C:$C,ROW(A91))),"")</f>
        <v/>
      </c>
      <c r="D91" t="str" cm="1">
        <f t="array" ref="D91">IFERROR(INDEX(Filter!$G:$G,_xlfn.AGGREGATE(15,6,Filter!$H:$H,ROW(A91))),"")</f>
        <v/>
      </c>
    </row>
    <row r="92" spans="3:4" x14ac:dyDescent="0.35">
      <c r="C92" t="str" cm="1">
        <f t="array" ref="C92">IFERROR(INDEX(Filter!$B:$B,_xlfn.AGGREGATE(15,6,Filter!$C:$C,ROW(A92))),"")</f>
        <v/>
      </c>
      <c r="D92" t="str" cm="1">
        <f t="array" ref="D92">IFERROR(INDEX(Filter!$G:$G,_xlfn.AGGREGATE(15,6,Filter!$H:$H,ROW(A92))),"")</f>
        <v/>
      </c>
    </row>
    <row r="93" spans="3:4" x14ac:dyDescent="0.35">
      <c r="C93" t="str" cm="1">
        <f t="array" ref="C93">IFERROR(INDEX(Filter!$B:$B,_xlfn.AGGREGATE(15,6,Filter!$C:$C,ROW(A93))),"")</f>
        <v/>
      </c>
      <c r="D93" t="str" cm="1">
        <f t="array" ref="D93">IFERROR(INDEX(Filter!$G:$G,_xlfn.AGGREGATE(15,6,Filter!$H:$H,ROW(A93))),"")</f>
        <v/>
      </c>
    </row>
    <row r="94" spans="3:4" x14ac:dyDescent="0.35">
      <c r="C94" t="str" cm="1">
        <f t="array" ref="C94">IFERROR(INDEX(Filter!$B:$B,_xlfn.AGGREGATE(15,6,Filter!$C:$C,ROW(A94))),"")</f>
        <v/>
      </c>
      <c r="D94" t="str" cm="1">
        <f t="array" ref="D94">IFERROR(INDEX(Filter!$G:$G,_xlfn.AGGREGATE(15,6,Filter!$H:$H,ROW(A94))),"")</f>
        <v/>
      </c>
    </row>
    <row r="95" spans="3:4" x14ac:dyDescent="0.35">
      <c r="C95" t="str" cm="1">
        <f t="array" ref="C95">IFERROR(INDEX(Filter!$B:$B,_xlfn.AGGREGATE(15,6,Filter!$C:$C,ROW(A95))),"")</f>
        <v/>
      </c>
      <c r="D95" t="str" cm="1">
        <f t="array" ref="D95">IFERROR(INDEX(Filter!$G:$G,_xlfn.AGGREGATE(15,6,Filter!$H:$H,ROW(A95))),"")</f>
        <v/>
      </c>
    </row>
    <row r="96" spans="3:4" x14ac:dyDescent="0.35">
      <c r="C96" t="str" cm="1">
        <f t="array" ref="C96">IFERROR(INDEX(Filter!$B:$B,_xlfn.AGGREGATE(15,6,Filter!$C:$C,ROW(A96))),"")</f>
        <v/>
      </c>
      <c r="D96" t="str" cm="1">
        <f t="array" ref="D96">IFERROR(INDEX(Filter!$G:$G,_xlfn.AGGREGATE(15,6,Filter!$H:$H,ROW(A96))),"")</f>
        <v/>
      </c>
    </row>
    <row r="97" spans="3:4" x14ac:dyDescent="0.35">
      <c r="C97" t="str" cm="1">
        <f t="array" ref="C97">IFERROR(INDEX(Filter!$B:$B,_xlfn.AGGREGATE(15,6,Filter!$C:$C,ROW(A97))),"")</f>
        <v/>
      </c>
      <c r="D97" t="str" cm="1">
        <f t="array" ref="D97">IFERROR(INDEX(Filter!$G:$G,_xlfn.AGGREGATE(15,6,Filter!$H:$H,ROW(A97))),"")</f>
        <v/>
      </c>
    </row>
    <row r="98" spans="3:4" x14ac:dyDescent="0.35">
      <c r="C98" t="str" cm="1">
        <f t="array" ref="C98">IFERROR(INDEX(Filter!$B:$B,_xlfn.AGGREGATE(15,6,Filter!$C:$C,ROW(A98))),"")</f>
        <v/>
      </c>
      <c r="D98" t="str" cm="1">
        <f t="array" ref="D98">IFERROR(INDEX(Filter!$G:$G,_xlfn.AGGREGATE(15,6,Filter!$H:$H,ROW(A98))),"")</f>
        <v/>
      </c>
    </row>
    <row r="99" spans="3:4" x14ac:dyDescent="0.35">
      <c r="C99" t="str" cm="1">
        <f t="array" ref="C99">IFERROR(INDEX(Filter!$B:$B,_xlfn.AGGREGATE(15,6,Filter!$C:$C,ROW(A99))),"")</f>
        <v/>
      </c>
      <c r="D99" t="str" cm="1">
        <f t="array" ref="D99">IFERROR(INDEX(Filter!$G:$G,_xlfn.AGGREGATE(15,6,Filter!$H:$H,ROW(A99))),"")</f>
        <v/>
      </c>
    </row>
    <row r="100" spans="3:4" x14ac:dyDescent="0.35">
      <c r="C100" t="str" cm="1">
        <f t="array" ref="C100">IFERROR(INDEX(Filter!$B:$B,_xlfn.AGGREGATE(15,6,Filter!$C:$C,ROW(A100))),"")</f>
        <v/>
      </c>
      <c r="D100" t="str" cm="1">
        <f t="array" ref="D100">IFERROR(INDEX(Filter!$G:$G,_xlfn.AGGREGATE(15,6,Filter!$H:$H,ROW(A100))),"")</f>
        <v/>
      </c>
    </row>
    <row r="101" spans="3:4" x14ac:dyDescent="0.35">
      <c r="C101" t="str" cm="1">
        <f t="array" ref="C101">IFERROR(INDEX(Filter!$B:$B,_xlfn.AGGREGATE(15,6,Filter!$C:$C,ROW(A101))),"")</f>
        <v/>
      </c>
      <c r="D101" t="str" cm="1">
        <f t="array" ref="D101">IFERROR(INDEX(Filter!$G:$G,_xlfn.AGGREGATE(15,6,Filter!$H:$H,ROW(A101))),"")</f>
        <v/>
      </c>
    </row>
    <row r="102" spans="3:4" x14ac:dyDescent="0.35">
      <c r="C102" t="str" cm="1">
        <f t="array" ref="C102">IFERROR(INDEX(Filter!$B:$B,_xlfn.AGGREGATE(15,6,Filter!$C:$C,ROW(A102))),"")</f>
        <v/>
      </c>
      <c r="D102" t="str" cm="1">
        <f t="array" ref="D102">IFERROR(INDEX(Filter!$G:$G,_xlfn.AGGREGATE(15,6,Filter!$H:$H,ROW(A102))),"")</f>
        <v/>
      </c>
    </row>
    <row r="103" spans="3:4" x14ac:dyDescent="0.35">
      <c r="C103" t="str" cm="1">
        <f t="array" ref="C103">IFERROR(INDEX(Filter!$B:$B,_xlfn.AGGREGATE(15,6,Filter!$C:$C,ROW(A103))),"")</f>
        <v/>
      </c>
      <c r="D103" t="str" cm="1">
        <f t="array" ref="D103">IFERROR(INDEX(Filter!$G:$G,_xlfn.AGGREGATE(15,6,Filter!$H:$H,ROW(A103))),"")</f>
        <v/>
      </c>
    </row>
    <row r="104" spans="3:4" x14ac:dyDescent="0.35">
      <c r="C104" t="str" cm="1">
        <f t="array" ref="C104">IFERROR(INDEX(Filter!$B:$B,_xlfn.AGGREGATE(15,6,Filter!$C:$C,ROW(A104))),"")</f>
        <v/>
      </c>
      <c r="D104" t="str" cm="1">
        <f t="array" ref="D104">IFERROR(INDEX(Filter!$G:$G,_xlfn.AGGREGATE(15,6,Filter!$H:$H,ROW(A104))),"")</f>
        <v/>
      </c>
    </row>
    <row r="105" spans="3:4" x14ac:dyDescent="0.35">
      <c r="C105" t="str" cm="1">
        <f t="array" ref="C105">IFERROR(INDEX(Filter!$B:$B,_xlfn.AGGREGATE(15,6,Filter!$C:$C,ROW(A105))),"")</f>
        <v/>
      </c>
      <c r="D105" t="str" cm="1">
        <f t="array" ref="D105">IFERROR(INDEX(Filter!$G:$G,_xlfn.AGGREGATE(15,6,Filter!$H:$H,ROW(A105))),"")</f>
        <v/>
      </c>
    </row>
    <row r="106" spans="3:4" x14ac:dyDescent="0.35">
      <c r="C106" t="str" cm="1">
        <f t="array" ref="C106">IFERROR(INDEX(Filter!$B:$B,_xlfn.AGGREGATE(15,6,Filter!$C:$C,ROW(A106))),"")</f>
        <v/>
      </c>
      <c r="D106" t="str" cm="1">
        <f t="array" ref="D106">IFERROR(INDEX(Filter!$G:$G,_xlfn.AGGREGATE(15,6,Filter!$H:$H,ROW(A106))),"")</f>
        <v/>
      </c>
    </row>
    <row r="107" spans="3:4" x14ac:dyDescent="0.35">
      <c r="C107" t="str" cm="1">
        <f t="array" ref="C107">IFERROR(INDEX(Filter!$B:$B,_xlfn.AGGREGATE(15,6,Filter!$C:$C,ROW(A107))),"")</f>
        <v/>
      </c>
      <c r="D107" t="str" cm="1">
        <f t="array" ref="D107">IFERROR(INDEX(Filter!$G:$G,_xlfn.AGGREGATE(15,6,Filter!$H:$H,ROW(A107))),"")</f>
        <v/>
      </c>
    </row>
    <row r="108" spans="3:4" x14ac:dyDescent="0.35">
      <c r="C108" t="str" cm="1">
        <f t="array" ref="C108">IFERROR(INDEX(Filter!$B:$B,_xlfn.AGGREGATE(15,6,Filter!$C:$C,ROW(A108))),"")</f>
        <v/>
      </c>
      <c r="D108" t="str" cm="1">
        <f t="array" ref="D108">IFERROR(INDEX(Filter!$G:$G,_xlfn.AGGREGATE(15,6,Filter!$H:$H,ROW(A108))),"")</f>
        <v/>
      </c>
    </row>
    <row r="109" spans="3:4" x14ac:dyDescent="0.35">
      <c r="C109" t="str" cm="1">
        <f t="array" ref="C109">IFERROR(INDEX(Filter!$B:$B,_xlfn.AGGREGATE(15,6,Filter!$C:$C,ROW(A109))),"")</f>
        <v/>
      </c>
      <c r="D109" t="str" cm="1">
        <f t="array" ref="D109">IFERROR(INDEX(Filter!$G:$G,_xlfn.AGGREGATE(15,6,Filter!$H:$H,ROW(A109))),"")</f>
        <v/>
      </c>
    </row>
    <row r="110" spans="3:4" x14ac:dyDescent="0.35">
      <c r="C110" t="str" cm="1">
        <f t="array" ref="C110">IFERROR(INDEX(Filter!$B:$B,_xlfn.AGGREGATE(15,6,Filter!$C:$C,ROW(A110))),"")</f>
        <v/>
      </c>
      <c r="D110" t="str" cm="1">
        <f t="array" ref="D110">IFERROR(INDEX(Filter!$G:$G,_xlfn.AGGREGATE(15,6,Filter!$H:$H,ROW(A110))),"")</f>
        <v/>
      </c>
    </row>
    <row r="111" spans="3:4" x14ac:dyDescent="0.35">
      <c r="C111" t="str" cm="1">
        <f t="array" ref="C111">IFERROR(INDEX(Filter!$B:$B,_xlfn.AGGREGATE(15,6,Filter!$C:$C,ROW(A111))),"")</f>
        <v/>
      </c>
      <c r="D111" t="str" cm="1">
        <f t="array" ref="D111">IFERROR(INDEX(Filter!$G:$G,_xlfn.AGGREGATE(15,6,Filter!$H:$H,ROW(A111))),"")</f>
        <v/>
      </c>
    </row>
    <row r="112" spans="3:4" x14ac:dyDescent="0.35">
      <c r="C112" t="str" cm="1">
        <f t="array" ref="C112">IFERROR(INDEX(Filter!$B:$B,_xlfn.AGGREGATE(15,6,Filter!$C:$C,ROW(A112))),"")</f>
        <v/>
      </c>
      <c r="D112" t="str" cm="1">
        <f t="array" ref="D112">IFERROR(INDEX(Filter!$G:$G,_xlfn.AGGREGATE(15,6,Filter!$H:$H,ROW(A112))),"")</f>
        <v/>
      </c>
    </row>
    <row r="113" spans="3:4" x14ac:dyDescent="0.35">
      <c r="C113" t="str" cm="1">
        <f t="array" ref="C113">IFERROR(INDEX(Filter!$B:$B,_xlfn.AGGREGATE(15,6,Filter!$C:$C,ROW(A113))),"")</f>
        <v/>
      </c>
      <c r="D113" t="str" cm="1">
        <f t="array" ref="D113">IFERROR(INDEX(Filter!$G:$G,_xlfn.AGGREGATE(15,6,Filter!$H:$H,ROW(A113))),"")</f>
        <v/>
      </c>
    </row>
    <row r="114" spans="3:4" x14ac:dyDescent="0.35">
      <c r="C114" t="str" cm="1">
        <f t="array" ref="C114">IFERROR(INDEX(Filter!$B:$B,_xlfn.AGGREGATE(15,6,Filter!$C:$C,ROW(A114))),"")</f>
        <v/>
      </c>
      <c r="D114" t="str" cm="1">
        <f t="array" ref="D114">IFERROR(INDEX(Filter!$G:$G,_xlfn.AGGREGATE(15,6,Filter!$H:$H,ROW(A114))),"")</f>
        <v/>
      </c>
    </row>
    <row r="115" spans="3:4" x14ac:dyDescent="0.35">
      <c r="C115" t="str" cm="1">
        <f t="array" ref="C115">IFERROR(INDEX(Filter!$B:$B,_xlfn.AGGREGATE(15,6,Filter!$C:$C,ROW(A115))),"")</f>
        <v/>
      </c>
      <c r="D115" t="str" cm="1">
        <f t="array" ref="D115">IFERROR(INDEX(Filter!$G:$G,_xlfn.AGGREGATE(15,6,Filter!$H:$H,ROW(A115))),"")</f>
        <v/>
      </c>
    </row>
    <row r="116" spans="3:4" x14ac:dyDescent="0.35">
      <c r="C116" t="str" cm="1">
        <f t="array" ref="C116">IFERROR(INDEX(Filter!$B:$B,_xlfn.AGGREGATE(15,6,Filter!$C:$C,ROW(A116))),"")</f>
        <v/>
      </c>
      <c r="D116" t="str" cm="1">
        <f t="array" ref="D116">IFERROR(INDEX(Filter!$G:$G,_xlfn.AGGREGATE(15,6,Filter!$H:$H,ROW(A116))),"")</f>
        <v/>
      </c>
    </row>
    <row r="117" spans="3:4" x14ac:dyDescent="0.35">
      <c r="C117" t="str" cm="1">
        <f t="array" ref="C117">IFERROR(INDEX(Filter!$B:$B,_xlfn.AGGREGATE(15,6,Filter!$C:$C,ROW(A117))),"")</f>
        <v/>
      </c>
      <c r="D117" t="str" cm="1">
        <f t="array" ref="D117">IFERROR(INDEX(Filter!$G:$G,_xlfn.AGGREGATE(15,6,Filter!$H:$H,ROW(A117))),"")</f>
        <v/>
      </c>
    </row>
    <row r="118" spans="3:4" x14ac:dyDescent="0.35">
      <c r="C118" t="str" cm="1">
        <f t="array" ref="C118">IFERROR(INDEX(Filter!$B:$B,_xlfn.AGGREGATE(15,6,Filter!$C:$C,ROW(A118))),"")</f>
        <v/>
      </c>
      <c r="D118" t="str" cm="1">
        <f t="array" ref="D118">IFERROR(INDEX(Filter!$G:$G,_xlfn.AGGREGATE(15,6,Filter!$H:$H,ROW(A118))),"")</f>
        <v/>
      </c>
    </row>
    <row r="119" spans="3:4" x14ac:dyDescent="0.35">
      <c r="C119" t="str" cm="1">
        <f t="array" ref="C119">IFERROR(INDEX(Filter!$B:$B,_xlfn.AGGREGATE(15,6,Filter!$C:$C,ROW(A119))),"")</f>
        <v/>
      </c>
      <c r="D119" t="str" cm="1">
        <f t="array" ref="D119">IFERROR(INDEX(Filter!$G:$G,_xlfn.AGGREGATE(15,6,Filter!$H:$H,ROW(A119))),"")</f>
        <v/>
      </c>
    </row>
    <row r="120" spans="3:4" x14ac:dyDescent="0.35">
      <c r="C120" t="str" cm="1">
        <f t="array" ref="C120">IFERROR(INDEX(Filter!$B:$B,_xlfn.AGGREGATE(15,6,Filter!$C:$C,ROW(A120))),"")</f>
        <v/>
      </c>
      <c r="D120" t="str" cm="1">
        <f t="array" ref="D120">IFERROR(INDEX(Filter!$G:$G,_xlfn.AGGREGATE(15,6,Filter!$H:$H,ROW(A120))),"")</f>
        <v/>
      </c>
    </row>
    <row r="121" spans="3:4" x14ac:dyDescent="0.35">
      <c r="C121" t="str" cm="1">
        <f t="array" ref="C121">IFERROR(INDEX(Filter!$B:$B,_xlfn.AGGREGATE(15,6,Filter!$C:$C,ROW(A121))),"")</f>
        <v/>
      </c>
      <c r="D121" t="str" cm="1">
        <f t="array" ref="D121">IFERROR(INDEX(Filter!$G:$G,_xlfn.AGGREGATE(15,6,Filter!$H:$H,ROW(A121))),"")</f>
        <v/>
      </c>
    </row>
    <row r="122" spans="3:4" x14ac:dyDescent="0.35">
      <c r="C122" t="str" cm="1">
        <f t="array" ref="C122">IFERROR(INDEX(Filter!$B:$B,_xlfn.AGGREGATE(15,6,Filter!$C:$C,ROW(A122))),"")</f>
        <v/>
      </c>
      <c r="D122" t="str" cm="1">
        <f t="array" ref="D122">IFERROR(INDEX(Filter!$G:$G,_xlfn.AGGREGATE(15,6,Filter!$H:$H,ROW(A122))),"")</f>
        <v/>
      </c>
    </row>
    <row r="123" spans="3:4" x14ac:dyDescent="0.35">
      <c r="C123" t="str" cm="1">
        <f t="array" ref="C123">IFERROR(INDEX(Filter!$B:$B,_xlfn.AGGREGATE(15,6,Filter!$C:$C,ROW(A123))),"")</f>
        <v/>
      </c>
      <c r="D123" t="str" cm="1">
        <f t="array" ref="D123">IFERROR(INDEX(Filter!$G:$G,_xlfn.AGGREGATE(15,6,Filter!$H:$H,ROW(A123))),"")</f>
        <v/>
      </c>
    </row>
    <row r="124" spans="3:4" x14ac:dyDescent="0.35">
      <c r="C124" t="str" cm="1">
        <f t="array" ref="C124">IFERROR(INDEX(Filter!$B:$B,_xlfn.AGGREGATE(15,6,Filter!$C:$C,ROW(A124))),"")</f>
        <v/>
      </c>
      <c r="D124" t="str" cm="1">
        <f t="array" ref="D124">IFERROR(INDEX(Filter!$G:$G,_xlfn.AGGREGATE(15,6,Filter!$H:$H,ROW(A124))),"")</f>
        <v/>
      </c>
    </row>
    <row r="125" spans="3:4" x14ac:dyDescent="0.35">
      <c r="C125" t="str" cm="1">
        <f t="array" ref="C125">IFERROR(INDEX(Filter!$B:$B,_xlfn.AGGREGATE(15,6,Filter!$C:$C,ROW(A125))),"")</f>
        <v/>
      </c>
      <c r="D125" t="str" cm="1">
        <f t="array" ref="D125">IFERROR(INDEX(Filter!$G:$G,_xlfn.AGGREGATE(15,6,Filter!$H:$H,ROW(A125))),"")</f>
        <v/>
      </c>
    </row>
    <row r="126" spans="3:4" x14ac:dyDescent="0.35">
      <c r="C126" t="str" cm="1">
        <f t="array" ref="C126">IFERROR(INDEX(Filter!$B:$B,_xlfn.AGGREGATE(15,6,Filter!$C:$C,ROW(A126))),"")</f>
        <v/>
      </c>
      <c r="D126" t="str" cm="1">
        <f t="array" ref="D126">IFERROR(INDEX(Filter!$G:$G,_xlfn.AGGREGATE(15,6,Filter!$H:$H,ROW(A126))),"")</f>
        <v/>
      </c>
    </row>
    <row r="127" spans="3:4" x14ac:dyDescent="0.35">
      <c r="C127" t="str" cm="1">
        <f t="array" ref="C127">IFERROR(INDEX(Filter!$B:$B,_xlfn.AGGREGATE(15,6,Filter!$C:$C,ROW(A127))),"")</f>
        <v/>
      </c>
      <c r="D127" t="str" cm="1">
        <f t="array" ref="D127">IFERROR(INDEX(Filter!$G:$G,_xlfn.AGGREGATE(15,6,Filter!$H:$H,ROW(A127))),"")</f>
        <v/>
      </c>
    </row>
    <row r="128" spans="3:4" x14ac:dyDescent="0.35">
      <c r="C128" t="str" cm="1">
        <f t="array" ref="C128">IFERROR(INDEX(Filter!$B:$B,_xlfn.AGGREGATE(15,6,Filter!$C:$C,ROW(A128))),"")</f>
        <v/>
      </c>
      <c r="D128" t="str" cm="1">
        <f t="array" ref="D128">IFERROR(INDEX(Filter!$G:$G,_xlfn.AGGREGATE(15,6,Filter!$H:$H,ROW(A128))),"")</f>
        <v/>
      </c>
    </row>
    <row r="129" spans="3:4" x14ac:dyDescent="0.35">
      <c r="C129" t="str" cm="1">
        <f t="array" ref="C129">IFERROR(INDEX(Filter!$B:$B,_xlfn.AGGREGATE(15,6,Filter!$C:$C,ROW(A129))),"")</f>
        <v/>
      </c>
      <c r="D129" t="str" cm="1">
        <f t="array" ref="D129">IFERROR(INDEX(Filter!$G:$G,_xlfn.AGGREGATE(15,6,Filter!$H:$H,ROW(A129))),"")</f>
        <v/>
      </c>
    </row>
    <row r="130" spans="3:4" x14ac:dyDescent="0.35">
      <c r="C130" t="str" cm="1">
        <f t="array" ref="C130">IFERROR(INDEX(Filter!$B:$B,_xlfn.AGGREGATE(15,6,Filter!$C:$C,ROW(A130))),"")</f>
        <v/>
      </c>
      <c r="D130" t="str" cm="1">
        <f t="array" ref="D130">IFERROR(INDEX(Filter!$G:$G,_xlfn.AGGREGATE(15,6,Filter!$H:$H,ROW(A130))),"")</f>
        <v/>
      </c>
    </row>
    <row r="131" spans="3:4" x14ac:dyDescent="0.35">
      <c r="C131" t="str" cm="1">
        <f t="array" ref="C131">IFERROR(INDEX(Filter!$B:$B,_xlfn.AGGREGATE(15,6,Filter!$C:$C,ROW(A131))),"")</f>
        <v/>
      </c>
      <c r="D131" t="str" cm="1">
        <f t="array" ref="D131">IFERROR(INDEX(Filter!$G:$G,_xlfn.AGGREGATE(15,6,Filter!$H:$H,ROW(A131))),"")</f>
        <v/>
      </c>
    </row>
    <row r="132" spans="3:4" x14ac:dyDescent="0.35">
      <c r="C132" t="str" cm="1">
        <f t="array" ref="C132">IFERROR(INDEX(Filter!$B:$B,_xlfn.AGGREGATE(15,6,Filter!$C:$C,ROW(A132))),"")</f>
        <v/>
      </c>
      <c r="D132" t="str" cm="1">
        <f t="array" ref="D132">IFERROR(INDEX(Filter!$G:$G,_xlfn.AGGREGATE(15,6,Filter!$H:$H,ROW(A132))),"")</f>
        <v/>
      </c>
    </row>
    <row r="133" spans="3:4" x14ac:dyDescent="0.35">
      <c r="C133" t="str" cm="1">
        <f t="array" ref="C133">IFERROR(INDEX(Filter!$B:$B,_xlfn.AGGREGATE(15,6,Filter!$C:$C,ROW(A133))),"")</f>
        <v/>
      </c>
      <c r="D133" t="str" cm="1">
        <f t="array" ref="D133">IFERROR(INDEX(Filter!$G:$G,_xlfn.AGGREGATE(15,6,Filter!$H:$H,ROW(A133))),"")</f>
        <v/>
      </c>
    </row>
    <row r="134" spans="3:4" x14ac:dyDescent="0.35">
      <c r="C134" t="str" cm="1">
        <f t="array" ref="C134">IFERROR(INDEX(Filter!$B:$B,_xlfn.AGGREGATE(15,6,Filter!$C:$C,ROW(A134))),"")</f>
        <v/>
      </c>
      <c r="D134" t="str" cm="1">
        <f t="array" ref="D134">IFERROR(INDEX(Filter!$G:$G,_xlfn.AGGREGATE(15,6,Filter!$H:$H,ROW(A134))),"")</f>
        <v/>
      </c>
    </row>
    <row r="135" spans="3:4" x14ac:dyDescent="0.35">
      <c r="C135" t="str" cm="1">
        <f t="array" ref="C135">IFERROR(INDEX(Filter!$B:$B,_xlfn.AGGREGATE(15,6,Filter!$C:$C,ROW(A135))),"")</f>
        <v/>
      </c>
      <c r="D135" t="str" cm="1">
        <f t="array" ref="D135">IFERROR(INDEX(Filter!$G:$G,_xlfn.AGGREGATE(15,6,Filter!$H:$H,ROW(A135))),"")</f>
        <v/>
      </c>
    </row>
    <row r="136" spans="3:4" x14ac:dyDescent="0.35">
      <c r="C136" t="str" cm="1">
        <f t="array" ref="C136">IFERROR(INDEX(Filter!$B:$B,_xlfn.AGGREGATE(15,6,Filter!$C:$C,ROW(A136))),"")</f>
        <v/>
      </c>
      <c r="D136" t="str" cm="1">
        <f t="array" ref="D136">IFERROR(INDEX(Filter!$G:$G,_xlfn.AGGREGATE(15,6,Filter!$H:$H,ROW(A136))),"")</f>
        <v/>
      </c>
    </row>
    <row r="137" spans="3:4" x14ac:dyDescent="0.35">
      <c r="C137" t="str" cm="1">
        <f t="array" ref="C137">IFERROR(INDEX(Filter!$B:$B,_xlfn.AGGREGATE(15,6,Filter!$C:$C,ROW(A137))),"")</f>
        <v/>
      </c>
      <c r="D137" t="str" cm="1">
        <f t="array" ref="D137">IFERROR(INDEX(Filter!$G:$G,_xlfn.AGGREGATE(15,6,Filter!$H:$H,ROW(A137))),"")</f>
        <v/>
      </c>
    </row>
    <row r="138" spans="3:4" x14ac:dyDescent="0.35">
      <c r="C138" t="str" cm="1">
        <f t="array" ref="C138">IFERROR(INDEX(Filter!$B:$B,_xlfn.AGGREGATE(15,6,Filter!$C:$C,ROW(A138))),"")</f>
        <v/>
      </c>
      <c r="D138" t="str" cm="1">
        <f t="array" ref="D138">IFERROR(INDEX(Filter!$G:$G,_xlfn.AGGREGATE(15,6,Filter!$H:$H,ROW(A138))),"")</f>
        <v/>
      </c>
    </row>
    <row r="139" spans="3:4" x14ac:dyDescent="0.35">
      <c r="C139" t="str" cm="1">
        <f t="array" ref="C139">IFERROR(INDEX(Filter!$B:$B,_xlfn.AGGREGATE(15,6,Filter!$C:$C,ROW(A139))),"")</f>
        <v/>
      </c>
      <c r="D139" t="str" cm="1">
        <f t="array" ref="D139">IFERROR(INDEX(Filter!$G:$G,_xlfn.AGGREGATE(15,6,Filter!$H:$H,ROW(A139))),"")</f>
        <v/>
      </c>
    </row>
    <row r="140" spans="3:4" x14ac:dyDescent="0.35">
      <c r="C140" t="str" cm="1">
        <f t="array" ref="C140">IFERROR(INDEX(Filter!$B:$B,_xlfn.AGGREGATE(15,6,Filter!$C:$C,ROW(A140))),"")</f>
        <v/>
      </c>
      <c r="D140" t="str" cm="1">
        <f t="array" ref="D140">IFERROR(INDEX(Filter!$G:$G,_xlfn.AGGREGATE(15,6,Filter!$H:$H,ROW(A140))),"")</f>
        <v/>
      </c>
    </row>
    <row r="141" spans="3:4" x14ac:dyDescent="0.35">
      <c r="C141" t="str" cm="1">
        <f t="array" ref="C141">IFERROR(INDEX(Filter!$B:$B,_xlfn.AGGREGATE(15,6,Filter!$C:$C,ROW(A141))),"")</f>
        <v/>
      </c>
      <c r="D141" t="str" cm="1">
        <f t="array" ref="D141">IFERROR(INDEX(Filter!$G:$G,_xlfn.AGGREGATE(15,6,Filter!$H:$H,ROW(A141))),"")</f>
        <v/>
      </c>
    </row>
    <row r="142" spans="3:4" x14ac:dyDescent="0.35">
      <c r="C142" t="str" cm="1">
        <f t="array" ref="C142">IFERROR(INDEX(Filter!$B:$B,_xlfn.AGGREGATE(15,6,Filter!$C:$C,ROW(A142))),"")</f>
        <v/>
      </c>
      <c r="D142" t="str" cm="1">
        <f t="array" ref="D142">IFERROR(INDEX(Filter!$G:$G,_xlfn.AGGREGATE(15,6,Filter!$H:$H,ROW(A142))),"")</f>
        <v/>
      </c>
    </row>
    <row r="143" spans="3:4" x14ac:dyDescent="0.35">
      <c r="C143" t="str" cm="1">
        <f t="array" ref="C143">IFERROR(INDEX(Filter!$B:$B,_xlfn.AGGREGATE(15,6,Filter!$C:$C,ROW(A143))),"")</f>
        <v/>
      </c>
      <c r="D143" t="str" cm="1">
        <f t="array" ref="D143">IFERROR(INDEX(Filter!$G:$G,_xlfn.AGGREGATE(15,6,Filter!$H:$H,ROW(A143))),"")</f>
        <v/>
      </c>
    </row>
    <row r="144" spans="3:4" x14ac:dyDescent="0.35">
      <c r="C144" t="str" cm="1">
        <f t="array" ref="C144">IFERROR(INDEX(Filter!$B:$B,_xlfn.AGGREGATE(15,6,Filter!$C:$C,ROW(A144))),"")</f>
        <v/>
      </c>
      <c r="D144" t="str" cm="1">
        <f t="array" ref="D144">IFERROR(INDEX(Filter!$G:$G,_xlfn.AGGREGATE(15,6,Filter!$H:$H,ROW(A144))),"")</f>
        <v/>
      </c>
    </row>
    <row r="145" spans="3:4" x14ac:dyDescent="0.35">
      <c r="C145" t="str" cm="1">
        <f t="array" ref="C145">IFERROR(INDEX(Filter!$B:$B,_xlfn.AGGREGATE(15,6,Filter!$C:$C,ROW(A145))),"")</f>
        <v/>
      </c>
      <c r="D145" t="str" cm="1">
        <f t="array" ref="D145">IFERROR(INDEX(Filter!$G:$G,_xlfn.AGGREGATE(15,6,Filter!$H:$H,ROW(A145))),"")</f>
        <v/>
      </c>
    </row>
    <row r="146" spans="3:4" x14ac:dyDescent="0.35">
      <c r="C146" t="str" cm="1">
        <f t="array" ref="C146">IFERROR(INDEX(Filter!$B:$B,_xlfn.AGGREGATE(15,6,Filter!$C:$C,ROW(A146))),"")</f>
        <v/>
      </c>
      <c r="D146" t="str" cm="1">
        <f t="array" ref="D146">IFERROR(INDEX(Filter!$G:$G,_xlfn.AGGREGATE(15,6,Filter!$H:$H,ROW(A146))),"")</f>
        <v/>
      </c>
    </row>
    <row r="147" spans="3:4" x14ac:dyDescent="0.35">
      <c r="C147" t="str" cm="1">
        <f t="array" ref="C147">IFERROR(INDEX(Filter!$B:$B,_xlfn.AGGREGATE(15,6,Filter!$C:$C,ROW(A147))),"")</f>
        <v/>
      </c>
      <c r="D147" t="str" cm="1">
        <f t="array" ref="D147">IFERROR(INDEX(Filter!$G:$G,_xlfn.AGGREGATE(15,6,Filter!$H:$H,ROW(A147))),"")</f>
        <v/>
      </c>
    </row>
    <row r="148" spans="3:4" x14ac:dyDescent="0.35">
      <c r="C148" t="str" cm="1">
        <f t="array" ref="C148">IFERROR(INDEX(Filter!$B:$B,_xlfn.AGGREGATE(15,6,Filter!$C:$C,ROW(A148))),"")</f>
        <v/>
      </c>
      <c r="D148" t="str" cm="1">
        <f t="array" ref="D148">IFERROR(INDEX(Filter!$G:$G,_xlfn.AGGREGATE(15,6,Filter!$H:$H,ROW(A148))),"")</f>
        <v/>
      </c>
    </row>
    <row r="149" spans="3:4" x14ac:dyDescent="0.35">
      <c r="C149" t="str" cm="1">
        <f t="array" ref="C149">IFERROR(INDEX(Filter!$B:$B,_xlfn.AGGREGATE(15,6,Filter!$C:$C,ROW(A149))),"")</f>
        <v/>
      </c>
      <c r="D149" t="str" cm="1">
        <f t="array" ref="D149">IFERROR(INDEX(Filter!$G:$G,_xlfn.AGGREGATE(15,6,Filter!$H:$H,ROW(A149))),"")</f>
        <v/>
      </c>
    </row>
    <row r="150" spans="3:4" x14ac:dyDescent="0.35">
      <c r="C150" t="str" cm="1">
        <f t="array" ref="C150">IFERROR(INDEX(Filter!$B:$B,_xlfn.AGGREGATE(15,6,Filter!$C:$C,ROW(A150))),"")</f>
        <v/>
      </c>
      <c r="D150" t="str" cm="1">
        <f t="array" ref="D150">IFERROR(INDEX(Filter!$G:$G,_xlfn.AGGREGATE(15,6,Filter!$H:$H,ROW(A150))),"")</f>
        <v/>
      </c>
    </row>
    <row r="151" spans="3:4" x14ac:dyDescent="0.35">
      <c r="C151" t="str" cm="1">
        <f t="array" ref="C151">IFERROR(INDEX(Filter!$B:$B,_xlfn.AGGREGATE(15,6,Filter!$C:$C,ROW(A151))),"")</f>
        <v/>
      </c>
      <c r="D151" t="str" cm="1">
        <f t="array" ref="D151">IFERROR(INDEX(Filter!$G:$G,_xlfn.AGGREGATE(15,6,Filter!$H:$H,ROW(A151))),"")</f>
        <v/>
      </c>
    </row>
    <row r="152" spans="3:4" x14ac:dyDescent="0.35">
      <c r="C152" t="str" cm="1">
        <f t="array" ref="C152">IFERROR(INDEX(Filter!$B:$B,_xlfn.AGGREGATE(15,6,Filter!$C:$C,ROW(A152))),"")</f>
        <v/>
      </c>
      <c r="D152" t="str" cm="1">
        <f t="array" ref="D152">IFERROR(INDEX(Filter!$G:$G,_xlfn.AGGREGATE(15,6,Filter!$H:$H,ROW(A152))),"")</f>
        <v/>
      </c>
    </row>
    <row r="153" spans="3:4" x14ac:dyDescent="0.35">
      <c r="C153" t="str" cm="1">
        <f t="array" ref="C153">IFERROR(INDEX(Filter!$B:$B,_xlfn.AGGREGATE(15,6,Filter!$C:$C,ROW(A153))),"")</f>
        <v/>
      </c>
      <c r="D153" t="str" cm="1">
        <f t="array" ref="D153">IFERROR(INDEX(Filter!$G:$G,_xlfn.AGGREGATE(15,6,Filter!$H:$H,ROW(A153))),"")</f>
        <v/>
      </c>
    </row>
    <row r="154" spans="3:4" x14ac:dyDescent="0.35">
      <c r="C154" t="str" cm="1">
        <f t="array" ref="C154">IFERROR(INDEX(Filter!$B:$B,_xlfn.AGGREGATE(15,6,Filter!$C:$C,ROW(A154))),"")</f>
        <v/>
      </c>
      <c r="D154" t="str" cm="1">
        <f t="array" ref="D154">IFERROR(INDEX(Filter!$G:$G,_xlfn.AGGREGATE(15,6,Filter!$H:$H,ROW(A154))),"")</f>
        <v/>
      </c>
    </row>
    <row r="155" spans="3:4" x14ac:dyDescent="0.35">
      <c r="C155" t="str" cm="1">
        <f t="array" ref="C155">IFERROR(INDEX(Filter!$B:$B,_xlfn.AGGREGATE(15,6,Filter!$C:$C,ROW(A155))),"")</f>
        <v/>
      </c>
      <c r="D155" t="str" cm="1">
        <f t="array" ref="D155">IFERROR(INDEX(Filter!$G:$G,_xlfn.AGGREGATE(15,6,Filter!$H:$H,ROW(A155))),"")</f>
        <v/>
      </c>
    </row>
    <row r="156" spans="3:4" x14ac:dyDescent="0.35">
      <c r="C156" t="str" cm="1">
        <f t="array" ref="C156">IFERROR(INDEX(Filter!$B:$B,_xlfn.AGGREGATE(15,6,Filter!$C:$C,ROW(A156))),"")</f>
        <v/>
      </c>
      <c r="D156" t="str" cm="1">
        <f t="array" ref="D156">IFERROR(INDEX(Filter!$G:$G,_xlfn.AGGREGATE(15,6,Filter!$H:$H,ROW(A156))),"")</f>
        <v/>
      </c>
    </row>
    <row r="157" spans="3:4" x14ac:dyDescent="0.35">
      <c r="C157" t="str" cm="1">
        <f t="array" ref="C157">IFERROR(INDEX(Filter!$B:$B,_xlfn.AGGREGATE(15,6,Filter!$C:$C,ROW(A157))),"")</f>
        <v/>
      </c>
      <c r="D157" t="str" cm="1">
        <f t="array" ref="D157">IFERROR(INDEX(Filter!$G:$G,_xlfn.AGGREGATE(15,6,Filter!$H:$H,ROW(A157))),"")</f>
        <v/>
      </c>
    </row>
    <row r="158" spans="3:4" x14ac:dyDescent="0.35">
      <c r="C158" t="str" cm="1">
        <f t="array" ref="C158">IFERROR(INDEX(Filter!$B:$B,_xlfn.AGGREGATE(15,6,Filter!$C:$C,ROW(A158))),"")</f>
        <v/>
      </c>
      <c r="D158" t="str" cm="1">
        <f t="array" ref="D158">IFERROR(INDEX(Filter!$G:$G,_xlfn.AGGREGATE(15,6,Filter!$H:$H,ROW(A158))),"")</f>
        <v/>
      </c>
    </row>
    <row r="159" spans="3:4" x14ac:dyDescent="0.35">
      <c r="C159" t="str" cm="1">
        <f t="array" ref="C159">IFERROR(INDEX(Filter!$B:$B,_xlfn.AGGREGATE(15,6,Filter!$C:$C,ROW(A159))),"")</f>
        <v/>
      </c>
      <c r="D159" t="str" cm="1">
        <f t="array" ref="D159">IFERROR(INDEX(Filter!$G:$G,_xlfn.AGGREGATE(15,6,Filter!$H:$H,ROW(A159))),"")</f>
        <v/>
      </c>
    </row>
    <row r="160" spans="3:4" x14ac:dyDescent="0.35">
      <c r="C160" t="str" cm="1">
        <f t="array" ref="C160">IFERROR(INDEX(Filter!$B:$B,_xlfn.AGGREGATE(15,6,Filter!$C:$C,ROW(A160))),"")</f>
        <v/>
      </c>
      <c r="D160" t="str" cm="1">
        <f t="array" ref="D160">IFERROR(INDEX(Filter!$G:$G,_xlfn.AGGREGATE(15,6,Filter!$H:$H,ROW(A160))),"")</f>
        <v/>
      </c>
    </row>
    <row r="161" spans="3:4" x14ac:dyDescent="0.35">
      <c r="C161" t="str" cm="1">
        <f t="array" ref="C161">IFERROR(INDEX(Filter!$B:$B,_xlfn.AGGREGATE(15,6,Filter!$C:$C,ROW(A161))),"")</f>
        <v/>
      </c>
      <c r="D161" t="str" cm="1">
        <f t="array" ref="D161">IFERROR(INDEX(Filter!$G:$G,_xlfn.AGGREGATE(15,6,Filter!$H:$H,ROW(A161))),"")</f>
        <v/>
      </c>
    </row>
    <row r="162" spans="3:4" x14ac:dyDescent="0.35">
      <c r="C162" t="str" cm="1">
        <f t="array" ref="C162">IFERROR(INDEX(Filter!$B:$B,_xlfn.AGGREGATE(15,6,Filter!$C:$C,ROW(A162))),"")</f>
        <v/>
      </c>
      <c r="D162" t="str" cm="1">
        <f t="array" ref="D162">IFERROR(INDEX(Filter!$G:$G,_xlfn.AGGREGATE(15,6,Filter!$H:$H,ROW(A162))),"")</f>
        <v/>
      </c>
    </row>
    <row r="163" spans="3:4" x14ac:dyDescent="0.35">
      <c r="C163" t="str" cm="1">
        <f t="array" ref="C163">IFERROR(INDEX(Filter!$B:$B,_xlfn.AGGREGATE(15,6,Filter!$C:$C,ROW(A163))),"")</f>
        <v/>
      </c>
      <c r="D163" t="str" cm="1">
        <f t="array" ref="D163">IFERROR(INDEX(Filter!$G:$G,_xlfn.AGGREGATE(15,6,Filter!$H:$H,ROW(A163))),"")</f>
        <v/>
      </c>
    </row>
    <row r="164" spans="3:4" x14ac:dyDescent="0.35">
      <c r="C164" t="str" cm="1">
        <f t="array" ref="C164">IFERROR(INDEX(Filter!$B:$B,_xlfn.AGGREGATE(15,6,Filter!$C:$C,ROW(A164))),"")</f>
        <v/>
      </c>
      <c r="D164" t="str" cm="1">
        <f t="array" ref="D164">IFERROR(INDEX(Filter!$G:$G,_xlfn.AGGREGATE(15,6,Filter!$H:$H,ROW(A164))),"")</f>
        <v/>
      </c>
    </row>
    <row r="165" spans="3:4" x14ac:dyDescent="0.35">
      <c r="C165" t="str" cm="1">
        <f t="array" ref="C165">IFERROR(INDEX(Filter!$B:$B,_xlfn.AGGREGATE(15,6,Filter!$C:$C,ROW(A165))),"")</f>
        <v/>
      </c>
      <c r="D165" t="str" cm="1">
        <f t="array" ref="D165">IFERROR(INDEX(Filter!$G:$G,_xlfn.AGGREGATE(15,6,Filter!$H:$H,ROW(A165))),"")</f>
        <v/>
      </c>
    </row>
    <row r="166" spans="3:4" x14ac:dyDescent="0.35">
      <c r="C166" t="str" cm="1">
        <f t="array" ref="C166">IFERROR(INDEX(Filter!$B:$B,_xlfn.AGGREGATE(15,6,Filter!$C:$C,ROW(A166))),"")</f>
        <v/>
      </c>
      <c r="D166" t="str" cm="1">
        <f t="array" ref="D166">IFERROR(INDEX(Filter!$G:$G,_xlfn.AGGREGATE(15,6,Filter!$H:$H,ROW(A166))),"")</f>
        <v/>
      </c>
    </row>
    <row r="167" spans="3:4" x14ac:dyDescent="0.35">
      <c r="C167" t="str" cm="1">
        <f t="array" ref="C167">IFERROR(INDEX(Filter!$B:$B,_xlfn.AGGREGATE(15,6,Filter!$C:$C,ROW(A167))),"")</f>
        <v/>
      </c>
      <c r="D167" t="str" cm="1">
        <f t="array" ref="D167">IFERROR(INDEX(Filter!$G:$G,_xlfn.AGGREGATE(15,6,Filter!$H:$H,ROW(A167))),"")</f>
        <v/>
      </c>
    </row>
    <row r="168" spans="3:4" x14ac:dyDescent="0.35">
      <c r="C168" t="str" cm="1">
        <f t="array" ref="C168">IFERROR(INDEX(Filter!$B:$B,_xlfn.AGGREGATE(15,6,Filter!$C:$C,ROW(A168))),"")</f>
        <v/>
      </c>
      <c r="D168" t="str" cm="1">
        <f t="array" ref="D168">IFERROR(INDEX(Filter!$G:$G,_xlfn.AGGREGATE(15,6,Filter!$H:$H,ROW(A168))),"")</f>
        <v/>
      </c>
    </row>
    <row r="169" spans="3:4" x14ac:dyDescent="0.35">
      <c r="C169" t="str" cm="1">
        <f t="array" ref="C169">IFERROR(INDEX(Filter!$B:$B,_xlfn.AGGREGATE(15,6,Filter!$C:$C,ROW(A169))),"")</f>
        <v/>
      </c>
      <c r="D169" t="str" cm="1">
        <f t="array" ref="D169">IFERROR(INDEX(Filter!$G:$G,_xlfn.AGGREGATE(15,6,Filter!$H:$H,ROW(A169))),"")</f>
        <v/>
      </c>
    </row>
    <row r="170" spans="3:4" x14ac:dyDescent="0.35">
      <c r="C170" t="str" cm="1">
        <f t="array" ref="C170">IFERROR(INDEX(Filter!$B:$B,_xlfn.AGGREGATE(15,6,Filter!$C:$C,ROW(A170))),"")</f>
        <v/>
      </c>
      <c r="D170" t="str" cm="1">
        <f t="array" ref="D170">IFERROR(INDEX(Filter!$G:$G,_xlfn.AGGREGATE(15,6,Filter!$H:$H,ROW(A170))),"")</f>
        <v/>
      </c>
    </row>
    <row r="171" spans="3:4" x14ac:dyDescent="0.35">
      <c r="C171" t="str" cm="1">
        <f t="array" ref="C171">IFERROR(INDEX(Filter!$B:$B,_xlfn.AGGREGATE(15,6,Filter!$C:$C,ROW(A171))),"")</f>
        <v/>
      </c>
      <c r="D171" t="str" cm="1">
        <f t="array" ref="D171">IFERROR(INDEX(Filter!$G:$G,_xlfn.AGGREGATE(15,6,Filter!$H:$H,ROW(A171))),"")</f>
        <v/>
      </c>
    </row>
    <row r="172" spans="3:4" x14ac:dyDescent="0.35">
      <c r="C172" t="str" cm="1">
        <f t="array" ref="C172">IFERROR(INDEX(Filter!$B:$B,_xlfn.AGGREGATE(15,6,Filter!$C:$C,ROW(A172))),"")</f>
        <v/>
      </c>
      <c r="D172" t="str" cm="1">
        <f t="array" ref="D172">IFERROR(INDEX(Filter!$G:$G,_xlfn.AGGREGATE(15,6,Filter!$H:$H,ROW(A172))),"")</f>
        <v/>
      </c>
    </row>
    <row r="173" spans="3:4" x14ac:dyDescent="0.35">
      <c r="C173" t="str" cm="1">
        <f t="array" ref="C173">IFERROR(INDEX(Filter!$B:$B,_xlfn.AGGREGATE(15,6,Filter!$C:$C,ROW(A173))),"")</f>
        <v/>
      </c>
      <c r="D173" t="str" cm="1">
        <f t="array" ref="D173">IFERROR(INDEX(Filter!$G:$G,_xlfn.AGGREGATE(15,6,Filter!$H:$H,ROW(A173))),"")</f>
        <v/>
      </c>
    </row>
    <row r="174" spans="3:4" x14ac:dyDescent="0.35">
      <c r="C174" t="str" cm="1">
        <f t="array" ref="C174">IFERROR(INDEX(Filter!$B:$B,_xlfn.AGGREGATE(15,6,Filter!$C:$C,ROW(A174))),"")</f>
        <v/>
      </c>
      <c r="D174" t="str" cm="1">
        <f t="array" ref="D174">IFERROR(INDEX(Filter!$G:$G,_xlfn.AGGREGATE(15,6,Filter!$H:$H,ROW(A174))),"")</f>
        <v/>
      </c>
    </row>
    <row r="175" spans="3:4" x14ac:dyDescent="0.35">
      <c r="C175" t="str" cm="1">
        <f t="array" ref="C175">IFERROR(INDEX(Filter!$B:$B,_xlfn.AGGREGATE(15,6,Filter!$C:$C,ROW(A175))),"")</f>
        <v/>
      </c>
      <c r="D175" t="str" cm="1">
        <f t="array" ref="D175">IFERROR(INDEX(Filter!$G:$G,_xlfn.AGGREGATE(15,6,Filter!$H:$H,ROW(A175))),"")</f>
        <v/>
      </c>
    </row>
    <row r="176" spans="3:4" x14ac:dyDescent="0.35">
      <c r="C176" t="str" cm="1">
        <f t="array" ref="C176">IFERROR(INDEX(Filter!$B:$B,_xlfn.AGGREGATE(15,6,Filter!$C:$C,ROW(A176))),"")</f>
        <v/>
      </c>
      <c r="D176" t="str" cm="1">
        <f t="array" ref="D176">IFERROR(INDEX(Filter!$G:$G,_xlfn.AGGREGATE(15,6,Filter!$H:$H,ROW(A176))),"")</f>
        <v/>
      </c>
    </row>
    <row r="177" spans="3:4" x14ac:dyDescent="0.35">
      <c r="C177" t="str" cm="1">
        <f t="array" ref="C177">IFERROR(INDEX(Filter!$B:$B,_xlfn.AGGREGATE(15,6,Filter!$C:$C,ROW(A177))),"")</f>
        <v/>
      </c>
      <c r="D177" t="str" cm="1">
        <f t="array" ref="D177">IFERROR(INDEX(Filter!$G:$G,_xlfn.AGGREGATE(15,6,Filter!$H:$H,ROW(A177))),"")</f>
        <v/>
      </c>
    </row>
    <row r="178" spans="3:4" x14ac:dyDescent="0.35">
      <c r="C178" t="str" cm="1">
        <f t="array" ref="C178">IFERROR(INDEX(Filter!$B:$B,_xlfn.AGGREGATE(15,6,Filter!$C:$C,ROW(A178))),"")</f>
        <v/>
      </c>
      <c r="D178" t="str" cm="1">
        <f t="array" ref="D178">IFERROR(INDEX(Filter!$G:$G,_xlfn.AGGREGATE(15,6,Filter!$H:$H,ROW(A178))),"")</f>
        <v/>
      </c>
    </row>
    <row r="179" spans="3:4" x14ac:dyDescent="0.35">
      <c r="C179" t="str" cm="1">
        <f t="array" ref="C179">IFERROR(INDEX(Filter!$B:$B,_xlfn.AGGREGATE(15,6,Filter!$C:$C,ROW(A179))),"")</f>
        <v/>
      </c>
      <c r="D179" t="str" cm="1">
        <f t="array" ref="D179">IFERROR(INDEX(Filter!$G:$G,_xlfn.AGGREGATE(15,6,Filter!$H:$H,ROW(A179))),"")</f>
        <v/>
      </c>
    </row>
    <row r="180" spans="3:4" x14ac:dyDescent="0.35">
      <c r="C180" t="str" cm="1">
        <f t="array" ref="C180">IFERROR(INDEX(Filter!$B:$B,_xlfn.AGGREGATE(15,6,Filter!$C:$C,ROW(A180))),"")</f>
        <v/>
      </c>
      <c r="D180" t="str" cm="1">
        <f t="array" ref="D180">IFERROR(INDEX(Filter!$G:$G,_xlfn.AGGREGATE(15,6,Filter!$H:$H,ROW(A180))),"")</f>
        <v/>
      </c>
    </row>
    <row r="181" spans="3:4" x14ac:dyDescent="0.35">
      <c r="C181" t="str" cm="1">
        <f t="array" ref="C181">IFERROR(INDEX(Filter!$B:$B,_xlfn.AGGREGATE(15,6,Filter!$C:$C,ROW(A181))),"")</f>
        <v/>
      </c>
      <c r="D181" t="str" cm="1">
        <f t="array" ref="D181">IFERROR(INDEX(Filter!$G:$G,_xlfn.AGGREGATE(15,6,Filter!$H:$H,ROW(A181))),"")</f>
        <v/>
      </c>
    </row>
    <row r="182" spans="3:4" x14ac:dyDescent="0.35">
      <c r="C182" t="str" cm="1">
        <f t="array" ref="C182">IFERROR(INDEX(Filter!$B:$B,_xlfn.AGGREGATE(15,6,Filter!$C:$C,ROW(A182))),"")</f>
        <v/>
      </c>
      <c r="D182" t="str" cm="1">
        <f t="array" ref="D182">IFERROR(INDEX(Filter!$G:$G,_xlfn.AGGREGATE(15,6,Filter!$H:$H,ROW(A182))),"")</f>
        <v/>
      </c>
    </row>
    <row r="183" spans="3:4" x14ac:dyDescent="0.35">
      <c r="C183" t="str" cm="1">
        <f t="array" ref="C183">IFERROR(INDEX(Filter!$B:$B,_xlfn.AGGREGATE(15,6,Filter!$C:$C,ROW(A183))),"")</f>
        <v/>
      </c>
      <c r="D183" t="str" cm="1">
        <f t="array" ref="D183">IFERROR(INDEX(Filter!$G:$G,_xlfn.AGGREGATE(15,6,Filter!$H:$H,ROW(A183))),"")</f>
        <v/>
      </c>
    </row>
    <row r="184" spans="3:4" x14ac:dyDescent="0.35">
      <c r="C184" t="str" cm="1">
        <f t="array" ref="C184">IFERROR(INDEX(Filter!$B:$B,_xlfn.AGGREGATE(15,6,Filter!$C:$C,ROW(A184))),"")</f>
        <v/>
      </c>
      <c r="D184" t="str" cm="1">
        <f t="array" ref="D184">IFERROR(INDEX(Filter!$G:$G,_xlfn.AGGREGATE(15,6,Filter!$H:$H,ROW(A184))),"")</f>
        <v/>
      </c>
    </row>
    <row r="185" spans="3:4" x14ac:dyDescent="0.35">
      <c r="C185" t="str" cm="1">
        <f t="array" ref="C185">IFERROR(INDEX(Filter!$B:$B,_xlfn.AGGREGATE(15,6,Filter!$C:$C,ROW(A185))),"")</f>
        <v/>
      </c>
      <c r="D185" t="str" cm="1">
        <f t="array" ref="D185">IFERROR(INDEX(Filter!$G:$G,_xlfn.AGGREGATE(15,6,Filter!$H:$H,ROW(A185))),"")</f>
        <v/>
      </c>
    </row>
    <row r="186" spans="3:4" x14ac:dyDescent="0.35">
      <c r="C186" t="str" cm="1">
        <f t="array" ref="C186">IFERROR(INDEX(Filter!$B:$B,_xlfn.AGGREGATE(15,6,Filter!$C:$C,ROW(A186))),"")</f>
        <v/>
      </c>
      <c r="D186" t="str" cm="1">
        <f t="array" ref="D186">IFERROR(INDEX(Filter!$G:$G,_xlfn.AGGREGATE(15,6,Filter!$H:$H,ROW(A186))),"")</f>
        <v/>
      </c>
    </row>
    <row r="187" spans="3:4" x14ac:dyDescent="0.35">
      <c r="C187" t="str" cm="1">
        <f t="array" ref="C187">IFERROR(INDEX(Filter!$B:$B,_xlfn.AGGREGATE(15,6,Filter!$C:$C,ROW(A187))),"")</f>
        <v/>
      </c>
      <c r="D187" t="str" cm="1">
        <f t="array" ref="D187">IFERROR(INDEX(Filter!$G:$G,_xlfn.AGGREGATE(15,6,Filter!$H:$H,ROW(A187))),"")</f>
        <v/>
      </c>
    </row>
    <row r="188" spans="3:4" x14ac:dyDescent="0.35">
      <c r="C188" t="str" cm="1">
        <f t="array" ref="C188">IFERROR(INDEX(Filter!$B:$B,_xlfn.AGGREGATE(15,6,Filter!$C:$C,ROW(A188))),"")</f>
        <v/>
      </c>
      <c r="D188" t="str" cm="1">
        <f t="array" ref="D188">IFERROR(INDEX(Filter!$G:$G,_xlfn.AGGREGATE(15,6,Filter!$H:$H,ROW(A188))),"")</f>
        <v/>
      </c>
    </row>
    <row r="189" spans="3:4" x14ac:dyDescent="0.35">
      <c r="C189" t="str" cm="1">
        <f t="array" ref="C189">IFERROR(INDEX(Filter!$B:$B,_xlfn.AGGREGATE(15,6,Filter!$C:$C,ROW(A189))),"")</f>
        <v/>
      </c>
      <c r="D189" t="str" cm="1">
        <f t="array" ref="D189">IFERROR(INDEX(Filter!$G:$G,_xlfn.AGGREGATE(15,6,Filter!$H:$H,ROW(A189))),"")</f>
        <v/>
      </c>
    </row>
    <row r="190" spans="3:4" x14ac:dyDescent="0.35">
      <c r="C190" t="str" cm="1">
        <f t="array" ref="C190">IFERROR(INDEX(Filter!$B:$B,_xlfn.AGGREGATE(15,6,Filter!$C:$C,ROW(A190))),"")</f>
        <v/>
      </c>
      <c r="D190" t="str" cm="1">
        <f t="array" ref="D190">IFERROR(INDEX(Filter!$G:$G,_xlfn.AGGREGATE(15,6,Filter!$H:$H,ROW(A190))),"")</f>
        <v/>
      </c>
    </row>
    <row r="191" spans="3:4" x14ac:dyDescent="0.35">
      <c r="C191" t="str" cm="1">
        <f t="array" ref="C191">IFERROR(INDEX(Filter!$B:$B,_xlfn.AGGREGATE(15,6,Filter!$C:$C,ROW(A191))),"")</f>
        <v/>
      </c>
      <c r="D191" t="str" cm="1">
        <f t="array" ref="D191">IFERROR(INDEX(Filter!$G:$G,_xlfn.AGGREGATE(15,6,Filter!$H:$H,ROW(A191))),"")</f>
        <v/>
      </c>
    </row>
    <row r="192" spans="3:4" x14ac:dyDescent="0.35">
      <c r="C192" t="str" cm="1">
        <f t="array" ref="C192">IFERROR(INDEX(Filter!$B:$B,_xlfn.AGGREGATE(15,6,Filter!$C:$C,ROW(A192))),"")</f>
        <v/>
      </c>
      <c r="D192" t="str" cm="1">
        <f t="array" ref="D192">IFERROR(INDEX(Filter!$G:$G,_xlfn.AGGREGATE(15,6,Filter!$H:$H,ROW(A192))),"")</f>
        <v/>
      </c>
    </row>
    <row r="193" spans="3:4" x14ac:dyDescent="0.35">
      <c r="C193" t="str" cm="1">
        <f t="array" ref="C193">IFERROR(INDEX(Filter!$B:$B,_xlfn.AGGREGATE(15,6,Filter!$C:$C,ROW(A193))),"")</f>
        <v/>
      </c>
      <c r="D193" t="str" cm="1">
        <f t="array" ref="D193">IFERROR(INDEX(Filter!$G:$G,_xlfn.AGGREGATE(15,6,Filter!$H:$H,ROW(A193))),"")</f>
        <v/>
      </c>
    </row>
    <row r="194" spans="3:4" x14ac:dyDescent="0.35">
      <c r="C194" t="str" cm="1">
        <f t="array" ref="C194">IFERROR(INDEX(Filter!$B:$B,_xlfn.AGGREGATE(15,6,Filter!$C:$C,ROW(A194))),"")</f>
        <v/>
      </c>
      <c r="D194" t="str" cm="1">
        <f t="array" ref="D194">IFERROR(INDEX(Filter!$G:$G,_xlfn.AGGREGATE(15,6,Filter!$H:$H,ROW(A194))),"")</f>
        <v/>
      </c>
    </row>
    <row r="195" spans="3:4" x14ac:dyDescent="0.35">
      <c r="C195" t="str" cm="1">
        <f t="array" ref="C195">IFERROR(INDEX(Filter!$B:$B,_xlfn.AGGREGATE(15,6,Filter!$C:$C,ROW(A195))),"")</f>
        <v/>
      </c>
      <c r="D195" t="str" cm="1">
        <f t="array" ref="D195">IFERROR(INDEX(Filter!$G:$G,_xlfn.AGGREGATE(15,6,Filter!$H:$H,ROW(A195))),"")</f>
        <v/>
      </c>
    </row>
    <row r="196" spans="3:4" x14ac:dyDescent="0.35">
      <c r="C196" t="str" cm="1">
        <f t="array" ref="C196">IFERROR(INDEX(Filter!$B:$B,_xlfn.AGGREGATE(15,6,Filter!$C:$C,ROW(A196))),"")</f>
        <v/>
      </c>
      <c r="D196" t="str" cm="1">
        <f t="array" ref="D196">IFERROR(INDEX(Filter!$G:$G,_xlfn.AGGREGATE(15,6,Filter!$H:$H,ROW(A196))),"")</f>
        <v/>
      </c>
    </row>
    <row r="197" spans="3:4" x14ac:dyDescent="0.35">
      <c r="C197" t="str" cm="1">
        <f t="array" ref="C197">IFERROR(INDEX(Filter!$B:$B,_xlfn.AGGREGATE(15,6,Filter!$C:$C,ROW(A197))),"")</f>
        <v/>
      </c>
      <c r="D197" t="str" cm="1">
        <f t="array" ref="D197">IFERROR(INDEX(Filter!$G:$G,_xlfn.AGGREGATE(15,6,Filter!$H:$H,ROW(A197))),"")</f>
        <v/>
      </c>
    </row>
    <row r="198" spans="3:4" x14ac:dyDescent="0.35">
      <c r="C198" t="str" cm="1">
        <f t="array" ref="C198">IFERROR(INDEX(Filter!$B:$B,_xlfn.AGGREGATE(15,6,Filter!$C:$C,ROW(A198))),"")</f>
        <v/>
      </c>
      <c r="D198" t="str" cm="1">
        <f t="array" ref="D198">IFERROR(INDEX(Filter!$G:$G,_xlfn.AGGREGATE(15,6,Filter!$H:$H,ROW(A198))),"")</f>
        <v/>
      </c>
    </row>
    <row r="199" spans="3:4" x14ac:dyDescent="0.35">
      <c r="C199" t="str" cm="1">
        <f t="array" ref="C199">IFERROR(INDEX(Filter!$B:$B,_xlfn.AGGREGATE(15,6,Filter!$C:$C,ROW(A199))),"")</f>
        <v/>
      </c>
      <c r="D199" t="str" cm="1">
        <f t="array" ref="D199">IFERROR(INDEX(Filter!$G:$G,_xlfn.AGGREGATE(15,6,Filter!$H:$H,ROW(A199))),"")</f>
        <v/>
      </c>
    </row>
    <row r="200" spans="3:4" x14ac:dyDescent="0.35">
      <c r="C200" t="str" cm="1">
        <f t="array" ref="C200">IFERROR(INDEX(Filter!$B:$B,_xlfn.AGGREGATE(15,6,Filter!$C:$C,ROW(A200))),"")</f>
        <v/>
      </c>
      <c r="D200" t="str" cm="1">
        <f t="array" ref="D200">IFERROR(INDEX(Filter!$G:$G,_xlfn.AGGREGATE(15,6,Filter!$H:$H,ROW(A200))),"")</f>
        <v/>
      </c>
    </row>
    <row r="201" spans="3:4" x14ac:dyDescent="0.35">
      <c r="C201" t="str" cm="1">
        <f t="array" ref="C201">IFERROR(INDEX(Filter!$B:$B,_xlfn.AGGREGATE(15,6,Filter!$C:$C,ROW(A201))),"")</f>
        <v/>
      </c>
      <c r="D201" t="str" cm="1">
        <f t="array" ref="D201">IFERROR(INDEX(Filter!$G:$G,_xlfn.AGGREGATE(15,6,Filter!$H:$H,ROW(A201))),"")</f>
        <v/>
      </c>
    </row>
    <row r="202" spans="3:4" x14ac:dyDescent="0.35">
      <c r="C202" t="str" cm="1">
        <f t="array" ref="C202">IFERROR(INDEX(Filter!$B:$B,_xlfn.AGGREGATE(15,6,Filter!$C:$C,ROW(A202))),"")</f>
        <v/>
      </c>
      <c r="D202" t="str" cm="1">
        <f t="array" ref="D202">IFERROR(INDEX(Filter!$G:$G,_xlfn.AGGREGATE(15,6,Filter!$H:$H,ROW(A202))),"")</f>
        <v/>
      </c>
    </row>
    <row r="203" spans="3:4" x14ac:dyDescent="0.35">
      <c r="C203" t="str" cm="1">
        <f t="array" ref="C203">IFERROR(INDEX(Filter!$B:$B,_xlfn.AGGREGATE(15,6,Filter!$C:$C,ROW(A203))),"")</f>
        <v/>
      </c>
      <c r="D203" t="str" cm="1">
        <f t="array" ref="D203">IFERROR(INDEX(Filter!$G:$G,_xlfn.AGGREGATE(15,6,Filter!$H:$H,ROW(A203))),"")</f>
        <v/>
      </c>
    </row>
    <row r="204" spans="3:4" x14ac:dyDescent="0.35">
      <c r="C204" t="str" cm="1">
        <f t="array" ref="C204">IFERROR(INDEX(Filter!$B:$B,_xlfn.AGGREGATE(15,6,Filter!$C:$C,ROW(A204))),"")</f>
        <v/>
      </c>
      <c r="D204" t="str" cm="1">
        <f t="array" ref="D204">IFERROR(INDEX(Filter!$G:$G,_xlfn.AGGREGATE(15,6,Filter!$H:$H,ROW(A204))),"")</f>
        <v/>
      </c>
    </row>
    <row r="205" spans="3:4" x14ac:dyDescent="0.35">
      <c r="C205" t="str" cm="1">
        <f t="array" ref="C205">IFERROR(INDEX(Filter!$B:$B,_xlfn.AGGREGATE(15,6,Filter!$C:$C,ROW(A205))),"")</f>
        <v/>
      </c>
      <c r="D205" t="str" cm="1">
        <f t="array" ref="D205">IFERROR(INDEX(Filter!$G:$G,_xlfn.AGGREGATE(15,6,Filter!$H:$H,ROW(A205))),"")</f>
        <v/>
      </c>
    </row>
    <row r="206" spans="3:4" x14ac:dyDescent="0.35">
      <c r="C206" t="str" cm="1">
        <f t="array" ref="C206">IFERROR(INDEX(Filter!$B:$B,_xlfn.AGGREGATE(15,6,Filter!$C:$C,ROW(A206))),"")</f>
        <v/>
      </c>
      <c r="D206" t="str" cm="1">
        <f t="array" ref="D206">IFERROR(INDEX(Filter!$G:$G,_xlfn.AGGREGATE(15,6,Filter!$H:$H,ROW(A206))),"")</f>
        <v/>
      </c>
    </row>
    <row r="207" spans="3:4" x14ac:dyDescent="0.35">
      <c r="C207" t="str" cm="1">
        <f t="array" ref="C207">IFERROR(INDEX(Filter!$B:$B,_xlfn.AGGREGATE(15,6,Filter!$C:$C,ROW(A207))),"")</f>
        <v/>
      </c>
      <c r="D207" t="str" cm="1">
        <f t="array" ref="D207">IFERROR(INDEX(Filter!$G:$G,_xlfn.AGGREGATE(15,6,Filter!$H:$H,ROW(A207))),"")</f>
        <v/>
      </c>
    </row>
    <row r="208" spans="3:4" x14ac:dyDescent="0.35">
      <c r="C208" t="str" cm="1">
        <f t="array" ref="C208">IFERROR(INDEX(Filter!$B:$B,_xlfn.AGGREGATE(15,6,Filter!$C:$C,ROW(A208))),"")</f>
        <v/>
      </c>
      <c r="D208" t="str" cm="1">
        <f t="array" ref="D208">IFERROR(INDEX(Filter!$G:$G,_xlfn.AGGREGATE(15,6,Filter!$H:$H,ROW(A208))),"")</f>
        <v/>
      </c>
    </row>
    <row r="209" spans="3:4" x14ac:dyDescent="0.35">
      <c r="C209" t="str" cm="1">
        <f t="array" ref="C209">IFERROR(INDEX(Filter!$B:$B,_xlfn.AGGREGATE(15,6,Filter!$C:$C,ROW(A209))),"")</f>
        <v/>
      </c>
      <c r="D209" t="str" cm="1">
        <f t="array" ref="D209">IFERROR(INDEX(Filter!$G:$G,_xlfn.AGGREGATE(15,6,Filter!$H:$H,ROW(A209))),"")</f>
        <v/>
      </c>
    </row>
    <row r="210" spans="3:4" x14ac:dyDescent="0.35">
      <c r="C210" t="str" cm="1">
        <f t="array" ref="C210">IFERROR(INDEX(Filter!$B:$B,_xlfn.AGGREGATE(15,6,Filter!$C:$C,ROW(A210))),"")</f>
        <v/>
      </c>
      <c r="D210" t="str" cm="1">
        <f t="array" ref="D210">IFERROR(INDEX(Filter!$G:$G,_xlfn.AGGREGATE(15,6,Filter!$H:$H,ROW(A210))),"")</f>
        <v/>
      </c>
    </row>
    <row r="211" spans="3:4" x14ac:dyDescent="0.35">
      <c r="C211" t="str" cm="1">
        <f t="array" ref="C211">IFERROR(INDEX(Filter!$B:$B,_xlfn.AGGREGATE(15,6,Filter!$C:$C,ROW(A211))),"")</f>
        <v/>
      </c>
      <c r="D211" t="str" cm="1">
        <f t="array" ref="D211">IFERROR(INDEX(Filter!$G:$G,_xlfn.AGGREGATE(15,6,Filter!$H:$H,ROW(A211))),"")</f>
        <v/>
      </c>
    </row>
    <row r="212" spans="3:4" x14ac:dyDescent="0.35">
      <c r="C212" t="str" cm="1">
        <f t="array" ref="C212">IFERROR(INDEX(Filter!$B:$B,_xlfn.AGGREGATE(15,6,Filter!$C:$C,ROW(A212))),"")</f>
        <v/>
      </c>
      <c r="D212" t="str" cm="1">
        <f t="array" ref="D212">IFERROR(INDEX(Filter!$G:$G,_xlfn.AGGREGATE(15,6,Filter!$H:$H,ROW(A212))),"")</f>
        <v/>
      </c>
    </row>
    <row r="213" spans="3:4" x14ac:dyDescent="0.35">
      <c r="C213" t="str" cm="1">
        <f t="array" ref="C213">IFERROR(INDEX(Filter!$B:$B,_xlfn.AGGREGATE(15,6,Filter!$C:$C,ROW(A213))),"")</f>
        <v/>
      </c>
      <c r="D213" t="str" cm="1">
        <f t="array" ref="D213">IFERROR(INDEX(Filter!$G:$G,_xlfn.AGGREGATE(15,6,Filter!$H:$H,ROW(A213))),"")</f>
        <v/>
      </c>
    </row>
    <row r="214" spans="3:4" x14ac:dyDescent="0.35">
      <c r="C214" t="str" cm="1">
        <f t="array" ref="C214">IFERROR(INDEX(Filter!$B:$B,_xlfn.AGGREGATE(15,6,Filter!$C:$C,ROW(A214))),"")</f>
        <v/>
      </c>
      <c r="D214" t="str" cm="1">
        <f t="array" ref="D214">IFERROR(INDEX(Filter!$G:$G,_xlfn.AGGREGATE(15,6,Filter!$H:$H,ROW(A214))),"")</f>
        <v/>
      </c>
    </row>
    <row r="215" spans="3:4" x14ac:dyDescent="0.35">
      <c r="C215" t="str" cm="1">
        <f t="array" ref="C215">IFERROR(INDEX(Filter!$B:$B,_xlfn.AGGREGATE(15,6,Filter!$C:$C,ROW(A215))),"")</f>
        <v/>
      </c>
      <c r="D215" t="str" cm="1">
        <f t="array" ref="D215">IFERROR(INDEX(Filter!$G:$G,_xlfn.AGGREGATE(15,6,Filter!$H:$H,ROW(A215))),"")</f>
        <v/>
      </c>
    </row>
    <row r="216" spans="3:4" x14ac:dyDescent="0.35">
      <c r="C216" t="str" cm="1">
        <f t="array" ref="C216">IFERROR(INDEX(Filter!$B:$B,_xlfn.AGGREGATE(15,6,Filter!$C:$C,ROW(A216))),"")</f>
        <v/>
      </c>
      <c r="D216" t="str" cm="1">
        <f t="array" ref="D216">IFERROR(INDEX(Filter!$G:$G,_xlfn.AGGREGATE(15,6,Filter!$H:$H,ROW(A216))),"")</f>
        <v/>
      </c>
    </row>
    <row r="217" spans="3:4" x14ac:dyDescent="0.35">
      <c r="C217" t="str" cm="1">
        <f t="array" ref="C217">IFERROR(INDEX(Filter!$B:$B,_xlfn.AGGREGATE(15,6,Filter!$C:$C,ROW(A217))),"")</f>
        <v/>
      </c>
      <c r="D217" t="str" cm="1">
        <f t="array" ref="D217">IFERROR(INDEX(Filter!$G:$G,_xlfn.AGGREGATE(15,6,Filter!$H:$H,ROW(A217))),"")</f>
        <v/>
      </c>
    </row>
    <row r="218" spans="3:4" x14ac:dyDescent="0.35">
      <c r="C218" t="str" cm="1">
        <f t="array" ref="C218">IFERROR(INDEX(Filter!$B:$B,_xlfn.AGGREGATE(15,6,Filter!$C:$C,ROW(A218))),"")</f>
        <v/>
      </c>
      <c r="D218" t="str" cm="1">
        <f t="array" ref="D218">IFERROR(INDEX(Filter!$G:$G,_xlfn.AGGREGATE(15,6,Filter!$H:$H,ROW(A218))),"")</f>
        <v/>
      </c>
    </row>
    <row r="219" spans="3:4" x14ac:dyDescent="0.35">
      <c r="C219" t="str" cm="1">
        <f t="array" ref="C219">IFERROR(INDEX(Filter!$B:$B,_xlfn.AGGREGATE(15,6,Filter!$C:$C,ROW(A219))),"")</f>
        <v/>
      </c>
      <c r="D219" t="str" cm="1">
        <f t="array" ref="D219">IFERROR(INDEX(Filter!$G:$G,_xlfn.AGGREGATE(15,6,Filter!$H:$H,ROW(A219))),"")</f>
        <v/>
      </c>
    </row>
    <row r="220" spans="3:4" x14ac:dyDescent="0.35">
      <c r="C220" t="str" cm="1">
        <f t="array" ref="C220">IFERROR(INDEX(Filter!$B:$B,_xlfn.AGGREGATE(15,6,Filter!$C:$C,ROW(A220))),"")</f>
        <v/>
      </c>
      <c r="D220" t="str" cm="1">
        <f t="array" ref="D220">IFERROR(INDEX(Filter!$G:$G,_xlfn.AGGREGATE(15,6,Filter!$H:$H,ROW(A220))),"")</f>
        <v/>
      </c>
    </row>
    <row r="221" spans="3:4" x14ac:dyDescent="0.35">
      <c r="C221" t="str" cm="1">
        <f t="array" ref="C221">IFERROR(INDEX(Filter!$B:$B,_xlfn.AGGREGATE(15,6,Filter!$C:$C,ROW(A221))),"")</f>
        <v/>
      </c>
      <c r="D221" t="str" cm="1">
        <f t="array" ref="D221">IFERROR(INDEX(Filter!$G:$G,_xlfn.AGGREGATE(15,6,Filter!$H:$H,ROW(A221))),"")</f>
        <v/>
      </c>
    </row>
    <row r="222" spans="3:4" x14ac:dyDescent="0.35">
      <c r="C222" t="str" cm="1">
        <f t="array" ref="C222">IFERROR(INDEX(Filter!$B:$B,_xlfn.AGGREGATE(15,6,Filter!$C:$C,ROW(A222))),"")</f>
        <v/>
      </c>
      <c r="D222" t="str" cm="1">
        <f t="array" ref="D222">IFERROR(INDEX(Filter!$G:$G,_xlfn.AGGREGATE(15,6,Filter!$H:$H,ROW(A222))),"")</f>
        <v/>
      </c>
    </row>
    <row r="223" spans="3:4" x14ac:dyDescent="0.35">
      <c r="C223" t="str" cm="1">
        <f t="array" ref="C223">IFERROR(INDEX(Filter!$B:$B,_xlfn.AGGREGATE(15,6,Filter!$C:$C,ROW(A223))),"")</f>
        <v/>
      </c>
      <c r="D223" t="str" cm="1">
        <f t="array" ref="D223">IFERROR(INDEX(Filter!$G:$G,_xlfn.AGGREGATE(15,6,Filter!$H:$H,ROW(A223))),"")</f>
        <v/>
      </c>
    </row>
    <row r="224" spans="3:4" x14ac:dyDescent="0.35">
      <c r="C224" t="str" cm="1">
        <f t="array" ref="C224">IFERROR(INDEX(Filter!$B:$B,_xlfn.AGGREGATE(15,6,Filter!$C:$C,ROW(A224))),"")</f>
        <v/>
      </c>
      <c r="D224" t="str" cm="1">
        <f t="array" ref="D224">IFERROR(INDEX(Filter!$G:$G,_xlfn.AGGREGATE(15,6,Filter!$H:$H,ROW(A224))),"")</f>
        <v/>
      </c>
    </row>
    <row r="225" spans="3:4" x14ac:dyDescent="0.35">
      <c r="C225" t="str" cm="1">
        <f t="array" ref="C225">IFERROR(INDEX(Filter!$B:$B,_xlfn.AGGREGATE(15,6,Filter!$C:$C,ROW(A225))),"")</f>
        <v/>
      </c>
      <c r="D225" t="str" cm="1">
        <f t="array" ref="D225">IFERROR(INDEX(Filter!$G:$G,_xlfn.AGGREGATE(15,6,Filter!$H:$H,ROW(A225))),"")</f>
        <v/>
      </c>
    </row>
    <row r="226" spans="3:4" x14ac:dyDescent="0.35">
      <c r="C226" t="str" cm="1">
        <f t="array" ref="C226">IFERROR(INDEX(Filter!$B:$B,_xlfn.AGGREGATE(15,6,Filter!$C:$C,ROW(A226))),"")</f>
        <v/>
      </c>
      <c r="D226" t="str" cm="1">
        <f t="array" ref="D226">IFERROR(INDEX(Filter!$G:$G,_xlfn.AGGREGATE(15,6,Filter!$H:$H,ROW(A226))),"")</f>
        <v/>
      </c>
    </row>
    <row r="227" spans="3:4" x14ac:dyDescent="0.35">
      <c r="C227" t="str" cm="1">
        <f t="array" ref="C227">IFERROR(INDEX(Filter!$B:$B,_xlfn.AGGREGATE(15,6,Filter!$C:$C,ROW(A227))),"")</f>
        <v/>
      </c>
      <c r="D227" t="str" cm="1">
        <f t="array" ref="D227">IFERROR(INDEX(Filter!$G:$G,_xlfn.AGGREGATE(15,6,Filter!$H:$H,ROW(A227))),"")</f>
        <v/>
      </c>
    </row>
    <row r="228" spans="3:4" x14ac:dyDescent="0.35">
      <c r="C228" t="str" cm="1">
        <f t="array" ref="C228">IFERROR(INDEX(Filter!$B:$B,_xlfn.AGGREGATE(15,6,Filter!$C:$C,ROW(A228))),"")</f>
        <v/>
      </c>
      <c r="D228" t="str" cm="1">
        <f t="array" ref="D228">IFERROR(INDEX(Filter!$G:$G,_xlfn.AGGREGATE(15,6,Filter!$H:$H,ROW(A228))),"")</f>
        <v/>
      </c>
    </row>
    <row r="229" spans="3:4" x14ac:dyDescent="0.35">
      <c r="C229" t="str" cm="1">
        <f t="array" ref="C229">IFERROR(INDEX(Filter!$B:$B,_xlfn.AGGREGATE(15,6,Filter!$C:$C,ROW(A229))),"")</f>
        <v/>
      </c>
      <c r="D229" t="str" cm="1">
        <f t="array" ref="D229">IFERROR(INDEX(Filter!$G:$G,_xlfn.AGGREGATE(15,6,Filter!$H:$H,ROW(A229))),"")</f>
        <v/>
      </c>
    </row>
    <row r="230" spans="3:4" x14ac:dyDescent="0.35">
      <c r="C230" t="str" cm="1">
        <f t="array" ref="C230">IFERROR(INDEX(Filter!$B:$B,_xlfn.AGGREGATE(15,6,Filter!$C:$C,ROW(A230))),"")</f>
        <v/>
      </c>
      <c r="D230" t="str" cm="1">
        <f t="array" ref="D230">IFERROR(INDEX(Filter!$G:$G,_xlfn.AGGREGATE(15,6,Filter!$H:$H,ROW(A230))),"")</f>
        <v/>
      </c>
    </row>
    <row r="231" spans="3:4" x14ac:dyDescent="0.35">
      <c r="C231" t="str" cm="1">
        <f t="array" ref="C231">IFERROR(INDEX(Filter!$B:$B,_xlfn.AGGREGATE(15,6,Filter!$C:$C,ROW(A231))),"")</f>
        <v/>
      </c>
      <c r="D231" t="str" cm="1">
        <f t="array" ref="D231">IFERROR(INDEX(Filter!$G:$G,_xlfn.AGGREGATE(15,6,Filter!$H:$H,ROW(A231))),"")</f>
        <v/>
      </c>
    </row>
    <row r="232" spans="3:4" x14ac:dyDescent="0.35">
      <c r="C232" t="str" cm="1">
        <f t="array" ref="C232">IFERROR(INDEX(Filter!$B:$B,_xlfn.AGGREGATE(15,6,Filter!$C:$C,ROW(A232))),"")</f>
        <v/>
      </c>
      <c r="D232" t="str" cm="1">
        <f t="array" ref="D232">IFERROR(INDEX(Filter!$G:$G,_xlfn.AGGREGATE(15,6,Filter!$H:$H,ROW(A232))),"")</f>
        <v/>
      </c>
    </row>
    <row r="233" spans="3:4" x14ac:dyDescent="0.35">
      <c r="C233" t="str" cm="1">
        <f t="array" ref="C233">IFERROR(INDEX(Filter!$B:$B,_xlfn.AGGREGATE(15,6,Filter!$C:$C,ROW(A233))),"")</f>
        <v/>
      </c>
      <c r="D233" t="str" cm="1">
        <f t="array" ref="D233">IFERROR(INDEX(Filter!$G:$G,_xlfn.AGGREGATE(15,6,Filter!$H:$H,ROW(A233))),"")</f>
        <v/>
      </c>
    </row>
    <row r="234" spans="3:4" x14ac:dyDescent="0.35">
      <c r="C234" t="str" cm="1">
        <f t="array" ref="C234">IFERROR(INDEX(Filter!$B:$B,_xlfn.AGGREGATE(15,6,Filter!$C:$C,ROW(A234))),"")</f>
        <v/>
      </c>
      <c r="D234" t="str" cm="1">
        <f t="array" ref="D234">IFERROR(INDEX(Filter!$G:$G,_xlfn.AGGREGATE(15,6,Filter!$H:$H,ROW(A234))),"")</f>
        <v/>
      </c>
    </row>
    <row r="235" spans="3:4" x14ac:dyDescent="0.35">
      <c r="C235" t="str" cm="1">
        <f t="array" ref="C235">IFERROR(INDEX(Filter!$B:$B,_xlfn.AGGREGATE(15,6,Filter!$C:$C,ROW(A235))),"")</f>
        <v/>
      </c>
      <c r="D235" t="str" cm="1">
        <f t="array" ref="D235">IFERROR(INDEX(Filter!$G:$G,_xlfn.AGGREGATE(15,6,Filter!$H:$H,ROW(A235))),"")</f>
        <v/>
      </c>
    </row>
    <row r="236" spans="3:4" x14ac:dyDescent="0.35">
      <c r="C236" t="str" cm="1">
        <f t="array" ref="C236">IFERROR(INDEX(Filter!$B:$B,_xlfn.AGGREGATE(15,6,Filter!$C:$C,ROW(A236))),"")</f>
        <v/>
      </c>
      <c r="D236" t="str" cm="1">
        <f t="array" ref="D236">IFERROR(INDEX(Filter!$G:$G,_xlfn.AGGREGATE(15,6,Filter!$H:$H,ROW(A236))),"")</f>
        <v/>
      </c>
    </row>
    <row r="237" spans="3:4" x14ac:dyDescent="0.35">
      <c r="C237" t="str" cm="1">
        <f t="array" ref="C237">IFERROR(INDEX(Filter!$B:$B,_xlfn.AGGREGATE(15,6,Filter!$C:$C,ROW(A237))),"")</f>
        <v/>
      </c>
      <c r="D237" t="str" cm="1">
        <f t="array" ref="D237">IFERROR(INDEX(Filter!$G:$G,_xlfn.AGGREGATE(15,6,Filter!$H:$H,ROW(A237))),"")</f>
        <v/>
      </c>
    </row>
    <row r="238" spans="3:4" x14ac:dyDescent="0.35">
      <c r="C238" t="str" cm="1">
        <f t="array" ref="C238">IFERROR(INDEX(Filter!$B:$B,_xlfn.AGGREGATE(15,6,Filter!$C:$C,ROW(A238))),"")</f>
        <v/>
      </c>
      <c r="D238" t="str" cm="1">
        <f t="array" ref="D238">IFERROR(INDEX(Filter!$G:$G,_xlfn.AGGREGATE(15,6,Filter!$H:$H,ROW(A238))),"")</f>
        <v/>
      </c>
    </row>
    <row r="239" spans="3:4" x14ac:dyDescent="0.35">
      <c r="C239" t="str" cm="1">
        <f t="array" ref="C239">IFERROR(INDEX(Filter!$B:$B,_xlfn.AGGREGATE(15,6,Filter!$C:$C,ROW(A239))),"")</f>
        <v/>
      </c>
      <c r="D239" t="str" cm="1">
        <f t="array" ref="D239">IFERROR(INDEX(Filter!$G:$G,_xlfn.AGGREGATE(15,6,Filter!$H:$H,ROW(A239))),"")</f>
        <v/>
      </c>
    </row>
    <row r="240" spans="3:4" x14ac:dyDescent="0.35">
      <c r="C240" t="str" cm="1">
        <f t="array" ref="C240">IFERROR(INDEX(Filter!$B:$B,_xlfn.AGGREGATE(15,6,Filter!$C:$C,ROW(A240))),"")</f>
        <v/>
      </c>
      <c r="D240" t="str" cm="1">
        <f t="array" ref="D240">IFERROR(INDEX(Filter!$G:$G,_xlfn.AGGREGATE(15,6,Filter!$H:$H,ROW(A240))),"")</f>
        <v/>
      </c>
    </row>
    <row r="241" spans="3:4" x14ac:dyDescent="0.35">
      <c r="C241" t="str" cm="1">
        <f t="array" ref="C241">IFERROR(INDEX(Filter!$B:$B,_xlfn.AGGREGATE(15,6,Filter!$C:$C,ROW(A241))),"")</f>
        <v/>
      </c>
      <c r="D241" t="str" cm="1">
        <f t="array" ref="D241">IFERROR(INDEX(Filter!$G:$G,_xlfn.AGGREGATE(15,6,Filter!$H:$H,ROW(A241))),"")</f>
        <v/>
      </c>
    </row>
    <row r="242" spans="3:4" x14ac:dyDescent="0.35">
      <c r="C242" t="str" cm="1">
        <f t="array" ref="C242">IFERROR(INDEX(Filter!$B:$B,_xlfn.AGGREGATE(15,6,Filter!$C:$C,ROW(A242))),"")</f>
        <v/>
      </c>
      <c r="D242" t="str" cm="1">
        <f t="array" ref="D242">IFERROR(INDEX(Filter!$G:$G,_xlfn.AGGREGATE(15,6,Filter!$H:$H,ROW(A242))),"")</f>
        <v/>
      </c>
    </row>
    <row r="243" spans="3:4" x14ac:dyDescent="0.35">
      <c r="C243" t="str" cm="1">
        <f t="array" ref="C243">IFERROR(INDEX(Filter!$B:$B,_xlfn.AGGREGATE(15,6,Filter!$C:$C,ROW(A243))),"")</f>
        <v/>
      </c>
      <c r="D243" t="str" cm="1">
        <f t="array" ref="D243">IFERROR(INDEX(Filter!$G:$G,_xlfn.AGGREGATE(15,6,Filter!$H:$H,ROW(A243))),"")</f>
        <v/>
      </c>
    </row>
    <row r="244" spans="3:4" x14ac:dyDescent="0.35">
      <c r="C244" t="str" cm="1">
        <f t="array" ref="C244">IFERROR(INDEX(Filter!$B:$B,_xlfn.AGGREGATE(15,6,Filter!$C:$C,ROW(A244))),"")</f>
        <v/>
      </c>
      <c r="D244" t="str" cm="1">
        <f t="array" ref="D244">IFERROR(INDEX(Filter!$G:$G,_xlfn.AGGREGATE(15,6,Filter!$H:$H,ROW(A244))),"")</f>
        <v/>
      </c>
    </row>
    <row r="245" spans="3:4" x14ac:dyDescent="0.35">
      <c r="C245" t="str" cm="1">
        <f t="array" ref="C245">IFERROR(INDEX(Filter!$B:$B,_xlfn.AGGREGATE(15,6,Filter!$C:$C,ROW(A245))),"")</f>
        <v/>
      </c>
      <c r="D245" t="str" cm="1">
        <f t="array" ref="D245">IFERROR(INDEX(Filter!$G:$G,_xlfn.AGGREGATE(15,6,Filter!$H:$H,ROW(A245))),"")</f>
        <v/>
      </c>
    </row>
    <row r="246" spans="3:4" x14ac:dyDescent="0.35">
      <c r="C246" t="str" cm="1">
        <f t="array" ref="C246">IFERROR(INDEX(Filter!$B:$B,_xlfn.AGGREGATE(15,6,Filter!$C:$C,ROW(A246))),"")</f>
        <v/>
      </c>
      <c r="D246" t="str" cm="1">
        <f t="array" ref="D246">IFERROR(INDEX(Filter!$G:$G,_xlfn.AGGREGATE(15,6,Filter!$H:$H,ROW(A246))),"")</f>
        <v/>
      </c>
    </row>
    <row r="247" spans="3:4" x14ac:dyDescent="0.35">
      <c r="C247" t="str" cm="1">
        <f t="array" ref="C247">IFERROR(INDEX(Filter!$B:$B,_xlfn.AGGREGATE(15,6,Filter!$C:$C,ROW(A247))),"")</f>
        <v/>
      </c>
      <c r="D247" t="str" cm="1">
        <f t="array" ref="D247">IFERROR(INDEX(Filter!$G:$G,_xlfn.AGGREGATE(15,6,Filter!$H:$H,ROW(A247))),"")</f>
        <v/>
      </c>
    </row>
    <row r="248" spans="3:4" x14ac:dyDescent="0.35">
      <c r="C248" t="str" cm="1">
        <f t="array" ref="C248">IFERROR(INDEX(Filter!$B:$B,_xlfn.AGGREGATE(15,6,Filter!$C:$C,ROW(A248))),"")</f>
        <v/>
      </c>
      <c r="D248" t="str" cm="1">
        <f t="array" ref="D248">IFERROR(INDEX(Filter!$G:$G,_xlfn.AGGREGATE(15,6,Filter!$H:$H,ROW(A248))),"")</f>
        <v/>
      </c>
    </row>
    <row r="249" spans="3:4" x14ac:dyDescent="0.35">
      <c r="C249" t="str" cm="1">
        <f t="array" ref="C249">IFERROR(INDEX(Filter!$B:$B,_xlfn.AGGREGATE(15,6,Filter!$C:$C,ROW(A249))),"")</f>
        <v/>
      </c>
      <c r="D249" t="str" cm="1">
        <f t="array" ref="D249">IFERROR(INDEX(Filter!$G:$G,_xlfn.AGGREGATE(15,6,Filter!$H:$H,ROW(A249))),"")</f>
        <v/>
      </c>
    </row>
    <row r="250" spans="3:4" x14ac:dyDescent="0.35">
      <c r="C250" t="str" cm="1">
        <f t="array" ref="C250">IFERROR(INDEX(Filter!$B:$B,_xlfn.AGGREGATE(15,6,Filter!$C:$C,ROW(A250))),"")</f>
        <v/>
      </c>
      <c r="D250" t="str" cm="1">
        <f t="array" ref="D250">IFERROR(INDEX(Filter!$G:$G,_xlfn.AGGREGATE(15,6,Filter!$H:$H,ROW(A250))),"")</f>
        <v/>
      </c>
    </row>
    <row r="251" spans="3:4" x14ac:dyDescent="0.35">
      <c r="C251" t="str" cm="1">
        <f t="array" ref="C251">IFERROR(INDEX(Filter!$B:$B,_xlfn.AGGREGATE(15,6,Filter!$C:$C,ROW(A251))),"")</f>
        <v/>
      </c>
      <c r="D251" t="str" cm="1">
        <f t="array" ref="D251">IFERROR(INDEX(Filter!$G:$G,_xlfn.AGGREGATE(15,6,Filter!$H:$H,ROW(A251))),"")</f>
        <v/>
      </c>
    </row>
    <row r="252" spans="3:4" x14ac:dyDescent="0.35">
      <c r="C252" t="str" cm="1">
        <f t="array" ref="C252">IFERROR(INDEX(Filter!$B:$B,_xlfn.AGGREGATE(15,6,Filter!$C:$C,ROW(A252))),"")</f>
        <v/>
      </c>
      <c r="D252" t="str" cm="1">
        <f t="array" ref="D252">IFERROR(INDEX(Filter!$G:$G,_xlfn.AGGREGATE(15,6,Filter!$H:$H,ROW(A252))),"")</f>
        <v/>
      </c>
    </row>
    <row r="253" spans="3:4" x14ac:dyDescent="0.35">
      <c r="C253" t="str" cm="1">
        <f t="array" ref="C253">IFERROR(INDEX(Filter!$B:$B,_xlfn.AGGREGATE(15,6,Filter!$C:$C,ROW(A253))),"")</f>
        <v/>
      </c>
      <c r="D253" t="str" cm="1">
        <f t="array" ref="D253">IFERROR(INDEX(Filter!$G:$G,_xlfn.AGGREGATE(15,6,Filter!$H:$H,ROW(A253))),"")</f>
        <v/>
      </c>
    </row>
    <row r="254" spans="3:4" x14ac:dyDescent="0.35">
      <c r="C254" t="str" cm="1">
        <f t="array" ref="C254">IFERROR(INDEX(Filter!$B:$B,_xlfn.AGGREGATE(15,6,Filter!$C:$C,ROW(A254))),"")</f>
        <v/>
      </c>
      <c r="D254" t="str" cm="1">
        <f t="array" ref="D254">IFERROR(INDEX(Filter!$G:$G,_xlfn.AGGREGATE(15,6,Filter!$H:$H,ROW(A254))),"")</f>
        <v/>
      </c>
    </row>
    <row r="255" spans="3:4" x14ac:dyDescent="0.35">
      <c r="C255" t="str" cm="1">
        <f t="array" ref="C255">IFERROR(INDEX(Filter!$B:$B,_xlfn.AGGREGATE(15,6,Filter!$C:$C,ROW(A255))),"")</f>
        <v/>
      </c>
      <c r="D255" t="str" cm="1">
        <f t="array" ref="D255">IFERROR(INDEX(Filter!$G:$G,_xlfn.AGGREGATE(15,6,Filter!$H:$H,ROW(A255))),"")</f>
        <v/>
      </c>
    </row>
    <row r="256" spans="3:4" x14ac:dyDescent="0.35">
      <c r="C256" t="str" cm="1">
        <f t="array" ref="C256">IFERROR(INDEX(Filter!$B:$B,_xlfn.AGGREGATE(15,6,Filter!$C:$C,ROW(A256))),"")</f>
        <v/>
      </c>
      <c r="D256" t="str" cm="1">
        <f t="array" ref="D256">IFERROR(INDEX(Filter!$G:$G,_xlfn.AGGREGATE(15,6,Filter!$H:$H,ROW(A256))),"")</f>
        <v/>
      </c>
    </row>
    <row r="257" spans="3:4" x14ac:dyDescent="0.35">
      <c r="C257" t="str" cm="1">
        <f t="array" ref="C257">IFERROR(INDEX(Filter!$B:$B,_xlfn.AGGREGATE(15,6,Filter!$C:$C,ROW(A257))),"")</f>
        <v/>
      </c>
      <c r="D257" t="str" cm="1">
        <f t="array" ref="D257">IFERROR(INDEX(Filter!$G:$G,_xlfn.AGGREGATE(15,6,Filter!$H:$H,ROW(A257))),"")</f>
        <v/>
      </c>
    </row>
    <row r="258" spans="3:4" x14ac:dyDescent="0.35">
      <c r="C258" t="str" cm="1">
        <f t="array" ref="C258">IFERROR(INDEX(Filter!$B:$B,_xlfn.AGGREGATE(15,6,Filter!$C:$C,ROW(A258))),"")</f>
        <v/>
      </c>
      <c r="D258" t="str" cm="1">
        <f t="array" ref="D258">IFERROR(INDEX(Filter!$G:$G,_xlfn.AGGREGATE(15,6,Filter!$H:$H,ROW(A258))),"")</f>
        <v/>
      </c>
    </row>
    <row r="259" spans="3:4" x14ac:dyDescent="0.35">
      <c r="C259" t="str" cm="1">
        <f t="array" ref="C259">IFERROR(INDEX(Filter!$B:$B,_xlfn.AGGREGATE(15,6,Filter!$C:$C,ROW(A259))),"")</f>
        <v/>
      </c>
      <c r="D259" t="str" cm="1">
        <f t="array" ref="D259">IFERROR(INDEX(Filter!$G:$G,_xlfn.AGGREGATE(15,6,Filter!$H:$H,ROW(A259))),"")</f>
        <v/>
      </c>
    </row>
    <row r="260" spans="3:4" x14ac:dyDescent="0.35">
      <c r="C260" t="str" cm="1">
        <f t="array" ref="C260">IFERROR(INDEX(Filter!$B:$B,_xlfn.AGGREGATE(15,6,Filter!$C:$C,ROW(A260))),"")</f>
        <v/>
      </c>
      <c r="D260" t="str" cm="1">
        <f t="array" ref="D260">IFERROR(INDEX(Filter!$G:$G,_xlfn.AGGREGATE(15,6,Filter!$H:$H,ROW(A260))),"")</f>
        <v/>
      </c>
    </row>
    <row r="261" spans="3:4" x14ac:dyDescent="0.35">
      <c r="C261" t="str" cm="1">
        <f t="array" ref="C261">IFERROR(INDEX(Filter!$B:$B,_xlfn.AGGREGATE(15,6,Filter!$C:$C,ROW(A261))),"")</f>
        <v/>
      </c>
      <c r="D261" t="str" cm="1">
        <f t="array" ref="D261">IFERROR(INDEX(Filter!$G:$G,_xlfn.AGGREGATE(15,6,Filter!$H:$H,ROW(A261))),"")</f>
        <v/>
      </c>
    </row>
    <row r="262" spans="3:4" x14ac:dyDescent="0.35">
      <c r="C262" t="str" cm="1">
        <f t="array" ref="C262">IFERROR(INDEX(Filter!$B:$B,_xlfn.AGGREGATE(15,6,Filter!$C:$C,ROW(A262))),"")</f>
        <v/>
      </c>
      <c r="D262" t="str" cm="1">
        <f t="array" ref="D262">IFERROR(INDEX(Filter!$G:$G,_xlfn.AGGREGATE(15,6,Filter!$H:$H,ROW(A262))),"")</f>
        <v/>
      </c>
    </row>
    <row r="263" spans="3:4" x14ac:dyDescent="0.35">
      <c r="C263" t="str" cm="1">
        <f t="array" ref="C263">IFERROR(INDEX(Filter!$B:$B,_xlfn.AGGREGATE(15,6,Filter!$C:$C,ROW(A263))),"")</f>
        <v/>
      </c>
      <c r="D263" t="str" cm="1">
        <f t="array" ref="D263">IFERROR(INDEX(Filter!$G:$G,_xlfn.AGGREGATE(15,6,Filter!$H:$H,ROW(A263))),"")</f>
        <v/>
      </c>
    </row>
    <row r="264" spans="3:4" x14ac:dyDescent="0.35">
      <c r="C264" t="str" cm="1">
        <f t="array" ref="C264">IFERROR(INDEX(Filter!$B:$B,_xlfn.AGGREGATE(15,6,Filter!$C:$C,ROW(A264))),"")</f>
        <v/>
      </c>
      <c r="D264" t="str" cm="1">
        <f t="array" ref="D264">IFERROR(INDEX(Filter!$G:$G,_xlfn.AGGREGATE(15,6,Filter!$H:$H,ROW(A264))),"")</f>
        <v/>
      </c>
    </row>
    <row r="265" spans="3:4" x14ac:dyDescent="0.35">
      <c r="C265" t="str" cm="1">
        <f t="array" ref="C265">IFERROR(INDEX(Filter!$B:$B,_xlfn.AGGREGATE(15,6,Filter!$C:$C,ROW(A265))),"")</f>
        <v/>
      </c>
      <c r="D265" t="str" cm="1">
        <f t="array" ref="D265">IFERROR(INDEX(Filter!$G:$G,_xlfn.AGGREGATE(15,6,Filter!$H:$H,ROW(A265))),"")</f>
        <v/>
      </c>
    </row>
    <row r="266" spans="3:4" x14ac:dyDescent="0.35">
      <c r="C266" t="str" cm="1">
        <f t="array" ref="C266">IFERROR(INDEX(Filter!$B:$B,_xlfn.AGGREGATE(15,6,Filter!$C:$C,ROW(A266))),"")</f>
        <v/>
      </c>
      <c r="D266" t="str" cm="1">
        <f t="array" ref="D266">IFERROR(INDEX(Filter!$G:$G,_xlfn.AGGREGATE(15,6,Filter!$H:$H,ROW(A266))),"")</f>
        <v/>
      </c>
    </row>
    <row r="267" spans="3:4" x14ac:dyDescent="0.35">
      <c r="C267" t="str" cm="1">
        <f t="array" ref="C267">IFERROR(INDEX(Filter!$B:$B,_xlfn.AGGREGATE(15,6,Filter!$C:$C,ROW(A267))),"")</f>
        <v/>
      </c>
      <c r="D267" t="str" cm="1">
        <f t="array" ref="D267">IFERROR(INDEX(Filter!$G:$G,_xlfn.AGGREGATE(15,6,Filter!$H:$H,ROW(A267))),"")</f>
        <v/>
      </c>
    </row>
    <row r="268" spans="3:4" x14ac:dyDescent="0.35">
      <c r="C268" t="str" cm="1">
        <f t="array" ref="C268">IFERROR(INDEX(Filter!$B:$B,_xlfn.AGGREGATE(15,6,Filter!$C:$C,ROW(A268))),"")</f>
        <v/>
      </c>
      <c r="D268" t="str" cm="1">
        <f t="array" ref="D268">IFERROR(INDEX(Filter!$G:$G,_xlfn.AGGREGATE(15,6,Filter!$H:$H,ROW(A268))),"")</f>
        <v/>
      </c>
    </row>
    <row r="269" spans="3:4" x14ac:dyDescent="0.35">
      <c r="C269" t="str" cm="1">
        <f t="array" ref="C269">IFERROR(INDEX(Filter!$B:$B,_xlfn.AGGREGATE(15,6,Filter!$C:$C,ROW(A269))),"")</f>
        <v/>
      </c>
      <c r="D269" t="str" cm="1">
        <f t="array" ref="D269">IFERROR(INDEX(Filter!$G:$G,_xlfn.AGGREGATE(15,6,Filter!$H:$H,ROW(A269))),"")</f>
        <v/>
      </c>
    </row>
    <row r="270" spans="3:4" x14ac:dyDescent="0.35">
      <c r="C270" t="str" cm="1">
        <f t="array" ref="C270">IFERROR(INDEX(Filter!$B:$B,_xlfn.AGGREGATE(15,6,Filter!$C:$C,ROW(A270))),"")</f>
        <v/>
      </c>
      <c r="D270" t="str" cm="1">
        <f t="array" ref="D270">IFERROR(INDEX(Filter!$G:$G,_xlfn.AGGREGATE(15,6,Filter!$H:$H,ROW(A270))),"")</f>
        <v/>
      </c>
    </row>
    <row r="271" spans="3:4" x14ac:dyDescent="0.35">
      <c r="C271" t="str" cm="1">
        <f t="array" ref="C271">IFERROR(INDEX(Filter!$B:$B,_xlfn.AGGREGATE(15,6,Filter!$C:$C,ROW(A271))),"")</f>
        <v/>
      </c>
      <c r="D271" t="str" cm="1">
        <f t="array" ref="D271">IFERROR(INDEX(Filter!$G:$G,_xlfn.AGGREGATE(15,6,Filter!$H:$H,ROW(A271))),"")</f>
        <v/>
      </c>
    </row>
    <row r="272" spans="3:4" x14ac:dyDescent="0.35">
      <c r="C272" t="str" cm="1">
        <f t="array" ref="C272">IFERROR(INDEX(Filter!$B:$B,_xlfn.AGGREGATE(15,6,Filter!$C:$C,ROW(A272))),"")</f>
        <v/>
      </c>
      <c r="D272" t="str" cm="1">
        <f t="array" ref="D272">IFERROR(INDEX(Filter!$G:$G,_xlfn.AGGREGATE(15,6,Filter!$H:$H,ROW(A272))),"")</f>
        <v/>
      </c>
    </row>
    <row r="273" spans="3:4" x14ac:dyDescent="0.35">
      <c r="C273" t="str" cm="1">
        <f t="array" ref="C273">IFERROR(INDEX(Filter!$B:$B,_xlfn.AGGREGATE(15,6,Filter!$C:$C,ROW(A273))),"")</f>
        <v/>
      </c>
      <c r="D273" t="str" cm="1">
        <f t="array" ref="D273">IFERROR(INDEX(Filter!$G:$G,_xlfn.AGGREGATE(15,6,Filter!$H:$H,ROW(A273))),"")</f>
        <v/>
      </c>
    </row>
    <row r="274" spans="3:4" x14ac:dyDescent="0.35">
      <c r="C274" t="str" cm="1">
        <f t="array" ref="C274">IFERROR(INDEX(Filter!$B:$B,_xlfn.AGGREGATE(15,6,Filter!$C:$C,ROW(A274))),"")</f>
        <v/>
      </c>
      <c r="D274" t="str" cm="1">
        <f t="array" ref="D274">IFERROR(INDEX(Filter!$G:$G,_xlfn.AGGREGATE(15,6,Filter!$H:$H,ROW(A274))),"")</f>
        <v/>
      </c>
    </row>
    <row r="275" spans="3:4" x14ac:dyDescent="0.35">
      <c r="C275" t="str" cm="1">
        <f t="array" ref="C275">IFERROR(INDEX(Filter!$B:$B,_xlfn.AGGREGATE(15,6,Filter!$C:$C,ROW(A275))),"")</f>
        <v/>
      </c>
      <c r="D275" t="str" cm="1">
        <f t="array" ref="D275">IFERROR(INDEX(Filter!$G:$G,_xlfn.AGGREGATE(15,6,Filter!$H:$H,ROW(A275))),"")</f>
        <v/>
      </c>
    </row>
    <row r="276" spans="3:4" x14ac:dyDescent="0.35">
      <c r="C276" t="str" cm="1">
        <f t="array" ref="C276">IFERROR(INDEX(Filter!$B:$B,_xlfn.AGGREGATE(15,6,Filter!$C:$C,ROW(A276))),"")</f>
        <v/>
      </c>
      <c r="D276" t="str" cm="1">
        <f t="array" ref="D276">IFERROR(INDEX(Filter!$G:$G,_xlfn.AGGREGATE(15,6,Filter!$H:$H,ROW(A276))),"")</f>
        <v/>
      </c>
    </row>
    <row r="277" spans="3:4" x14ac:dyDescent="0.35">
      <c r="C277" t="str" cm="1">
        <f t="array" ref="C277">IFERROR(INDEX(Filter!$B:$B,_xlfn.AGGREGATE(15,6,Filter!$C:$C,ROW(A277))),"")</f>
        <v/>
      </c>
      <c r="D277" t="str" cm="1">
        <f t="array" ref="D277">IFERROR(INDEX(Filter!$G:$G,_xlfn.AGGREGATE(15,6,Filter!$H:$H,ROW(A277))),"")</f>
        <v/>
      </c>
    </row>
    <row r="278" spans="3:4" x14ac:dyDescent="0.35">
      <c r="C278" t="str" cm="1">
        <f t="array" ref="C278">IFERROR(INDEX(Filter!$B:$B,_xlfn.AGGREGATE(15,6,Filter!$C:$C,ROW(A278))),"")</f>
        <v/>
      </c>
      <c r="D278" t="str" cm="1">
        <f t="array" ref="D278">IFERROR(INDEX(Filter!$G:$G,_xlfn.AGGREGATE(15,6,Filter!$H:$H,ROW(A278))),"")</f>
        <v/>
      </c>
    </row>
    <row r="279" spans="3:4" x14ac:dyDescent="0.35">
      <c r="C279" t="str" cm="1">
        <f t="array" ref="C279">IFERROR(INDEX(Filter!$B:$B,_xlfn.AGGREGATE(15,6,Filter!$C:$C,ROW(A279))),"")</f>
        <v/>
      </c>
      <c r="D279" t="str" cm="1">
        <f t="array" ref="D279">IFERROR(INDEX(Filter!$G:$G,_xlfn.AGGREGATE(15,6,Filter!$H:$H,ROW(A279))),"")</f>
        <v/>
      </c>
    </row>
    <row r="280" spans="3:4" x14ac:dyDescent="0.35">
      <c r="C280" t="str" cm="1">
        <f t="array" ref="C280">IFERROR(INDEX(Filter!$B:$B,_xlfn.AGGREGATE(15,6,Filter!$C:$C,ROW(A280))),"")</f>
        <v/>
      </c>
      <c r="D280" t="str" cm="1">
        <f t="array" ref="D280">IFERROR(INDEX(Filter!$G:$G,_xlfn.AGGREGATE(15,6,Filter!$H:$H,ROW(A280))),"")</f>
        <v/>
      </c>
    </row>
    <row r="281" spans="3:4" x14ac:dyDescent="0.35">
      <c r="C281" t="str" cm="1">
        <f t="array" ref="C281">IFERROR(INDEX(Filter!$B:$B,_xlfn.AGGREGATE(15,6,Filter!$C:$C,ROW(A281))),"")</f>
        <v/>
      </c>
      <c r="D281" t="str" cm="1">
        <f t="array" ref="D281">IFERROR(INDEX(Filter!$G:$G,_xlfn.AGGREGATE(15,6,Filter!$H:$H,ROW(A281))),"")</f>
        <v/>
      </c>
    </row>
    <row r="282" spans="3:4" x14ac:dyDescent="0.35">
      <c r="C282" t="str" cm="1">
        <f t="array" ref="C282">IFERROR(INDEX(Filter!$B:$B,_xlfn.AGGREGATE(15,6,Filter!$C:$C,ROW(A282))),"")</f>
        <v/>
      </c>
      <c r="D282" t="str" cm="1">
        <f t="array" ref="D282">IFERROR(INDEX(Filter!$G:$G,_xlfn.AGGREGATE(15,6,Filter!$H:$H,ROW(A282))),"")</f>
        <v/>
      </c>
    </row>
    <row r="283" spans="3:4" x14ac:dyDescent="0.35">
      <c r="C283" t="str" cm="1">
        <f t="array" ref="C283">IFERROR(INDEX(Filter!$B:$B,_xlfn.AGGREGATE(15,6,Filter!$C:$C,ROW(A283))),"")</f>
        <v/>
      </c>
      <c r="D283" t="str" cm="1">
        <f t="array" ref="D283">IFERROR(INDEX(Filter!$G:$G,_xlfn.AGGREGATE(15,6,Filter!$H:$H,ROW(A283))),"")</f>
        <v/>
      </c>
    </row>
    <row r="284" spans="3:4" x14ac:dyDescent="0.35">
      <c r="C284" t="str" cm="1">
        <f t="array" ref="C284">IFERROR(INDEX(Filter!$B:$B,_xlfn.AGGREGATE(15,6,Filter!$C:$C,ROW(A284))),"")</f>
        <v/>
      </c>
      <c r="D284" t="str" cm="1">
        <f t="array" ref="D284">IFERROR(INDEX(Filter!$G:$G,_xlfn.AGGREGATE(15,6,Filter!$H:$H,ROW(A284))),"")</f>
        <v/>
      </c>
    </row>
    <row r="285" spans="3:4" x14ac:dyDescent="0.35">
      <c r="C285" t="str" cm="1">
        <f t="array" ref="C285">IFERROR(INDEX(Filter!$B:$B,_xlfn.AGGREGATE(15,6,Filter!$C:$C,ROW(A285))),"")</f>
        <v/>
      </c>
      <c r="D285" t="str" cm="1">
        <f t="array" ref="D285">IFERROR(INDEX(Filter!$G:$G,_xlfn.AGGREGATE(15,6,Filter!$H:$H,ROW(A285))),"")</f>
        <v/>
      </c>
    </row>
    <row r="286" spans="3:4" x14ac:dyDescent="0.35">
      <c r="C286" t="str" cm="1">
        <f t="array" ref="C286">IFERROR(INDEX(Filter!$B:$B,_xlfn.AGGREGATE(15,6,Filter!$C:$C,ROW(A286))),"")</f>
        <v/>
      </c>
      <c r="D286" t="str" cm="1">
        <f t="array" ref="D286">IFERROR(INDEX(Filter!$G:$G,_xlfn.AGGREGATE(15,6,Filter!$H:$H,ROW(A286))),"")</f>
        <v/>
      </c>
    </row>
    <row r="287" spans="3:4" x14ac:dyDescent="0.35">
      <c r="C287" t="str" cm="1">
        <f t="array" ref="C287">IFERROR(INDEX(Filter!$B:$B,_xlfn.AGGREGATE(15,6,Filter!$C:$C,ROW(A287))),"")</f>
        <v/>
      </c>
      <c r="D287" t="str" cm="1">
        <f t="array" ref="D287">IFERROR(INDEX(Filter!$G:$G,_xlfn.AGGREGATE(15,6,Filter!$H:$H,ROW(A287))),"")</f>
        <v/>
      </c>
    </row>
    <row r="288" spans="3:4" x14ac:dyDescent="0.35">
      <c r="C288" t="str" cm="1">
        <f t="array" ref="C288">IFERROR(INDEX(Filter!$B:$B,_xlfn.AGGREGATE(15,6,Filter!$C:$C,ROW(A288))),"")</f>
        <v/>
      </c>
      <c r="D288" t="str" cm="1">
        <f t="array" ref="D288">IFERROR(INDEX(Filter!$G:$G,_xlfn.AGGREGATE(15,6,Filter!$H:$H,ROW(A288))),"")</f>
        <v/>
      </c>
    </row>
    <row r="289" spans="3:4" x14ac:dyDescent="0.35">
      <c r="C289" t="str" cm="1">
        <f t="array" ref="C289">IFERROR(INDEX(Filter!$B:$B,_xlfn.AGGREGATE(15,6,Filter!$C:$C,ROW(A289))),"")</f>
        <v/>
      </c>
      <c r="D289" t="str" cm="1">
        <f t="array" ref="D289">IFERROR(INDEX(Filter!$G:$G,_xlfn.AGGREGATE(15,6,Filter!$H:$H,ROW(A289))),"")</f>
        <v/>
      </c>
    </row>
    <row r="290" spans="3:4" x14ac:dyDescent="0.35">
      <c r="C290" t="str" cm="1">
        <f t="array" ref="C290">IFERROR(INDEX(Filter!$B:$B,_xlfn.AGGREGATE(15,6,Filter!$C:$C,ROW(A290))),"")</f>
        <v/>
      </c>
      <c r="D290" t="str" cm="1">
        <f t="array" ref="D290">IFERROR(INDEX(Filter!$G:$G,_xlfn.AGGREGATE(15,6,Filter!$H:$H,ROW(A290))),"")</f>
        <v/>
      </c>
    </row>
    <row r="291" spans="3:4" x14ac:dyDescent="0.35">
      <c r="C291" t="str" cm="1">
        <f t="array" ref="C291">IFERROR(INDEX(Filter!$B:$B,_xlfn.AGGREGATE(15,6,Filter!$C:$C,ROW(A291))),"")</f>
        <v/>
      </c>
      <c r="D291" t="str" cm="1">
        <f t="array" ref="D291">IFERROR(INDEX(Filter!$G:$G,_xlfn.AGGREGATE(15,6,Filter!$H:$H,ROW(A291))),"")</f>
        <v/>
      </c>
    </row>
    <row r="292" spans="3:4" x14ac:dyDescent="0.35">
      <c r="C292" t="str" cm="1">
        <f t="array" ref="C292">IFERROR(INDEX(Filter!$B:$B,_xlfn.AGGREGATE(15,6,Filter!$C:$C,ROW(A292))),"")</f>
        <v/>
      </c>
      <c r="D292" t="str" cm="1">
        <f t="array" ref="D292">IFERROR(INDEX(Filter!$G:$G,_xlfn.AGGREGATE(15,6,Filter!$H:$H,ROW(A292))),"")</f>
        <v/>
      </c>
    </row>
    <row r="293" spans="3:4" x14ac:dyDescent="0.35">
      <c r="C293" t="str" cm="1">
        <f t="array" ref="C293">IFERROR(INDEX(Filter!$B:$B,_xlfn.AGGREGATE(15,6,Filter!$C:$C,ROW(A293))),"")</f>
        <v/>
      </c>
      <c r="D293" t="str" cm="1">
        <f t="array" ref="D293">IFERROR(INDEX(Filter!$G:$G,_xlfn.AGGREGATE(15,6,Filter!$H:$H,ROW(A293))),"")</f>
        <v/>
      </c>
    </row>
    <row r="294" spans="3:4" x14ac:dyDescent="0.35">
      <c r="C294" t="str" cm="1">
        <f t="array" ref="C294">IFERROR(INDEX(Filter!$B:$B,_xlfn.AGGREGATE(15,6,Filter!$C:$C,ROW(A294))),"")</f>
        <v/>
      </c>
      <c r="D294" t="str" cm="1">
        <f t="array" ref="D294">IFERROR(INDEX(Filter!$G:$G,_xlfn.AGGREGATE(15,6,Filter!$H:$H,ROW(A294))),"")</f>
        <v/>
      </c>
    </row>
    <row r="295" spans="3:4" x14ac:dyDescent="0.35">
      <c r="C295" t="str" cm="1">
        <f t="array" ref="C295">IFERROR(INDEX(Filter!$B:$B,_xlfn.AGGREGATE(15,6,Filter!$C:$C,ROW(A295))),"")</f>
        <v/>
      </c>
      <c r="D295" t="str" cm="1">
        <f t="array" ref="D295">IFERROR(INDEX(Filter!$G:$G,_xlfn.AGGREGATE(15,6,Filter!$H:$H,ROW(A295))),"")</f>
        <v/>
      </c>
    </row>
    <row r="296" spans="3:4" x14ac:dyDescent="0.35">
      <c r="C296" t="str" cm="1">
        <f t="array" ref="C296">IFERROR(INDEX(Filter!$B:$B,_xlfn.AGGREGATE(15,6,Filter!$C:$C,ROW(A296))),"")</f>
        <v/>
      </c>
      <c r="D296" t="str" cm="1">
        <f t="array" ref="D296">IFERROR(INDEX(Filter!$G:$G,_xlfn.AGGREGATE(15,6,Filter!$H:$H,ROW(A296))),"")</f>
        <v/>
      </c>
    </row>
    <row r="297" spans="3:4" x14ac:dyDescent="0.35">
      <c r="C297" t="str" cm="1">
        <f t="array" ref="C297">IFERROR(INDEX(Filter!$B:$B,_xlfn.AGGREGATE(15,6,Filter!$C:$C,ROW(A297))),"")</f>
        <v/>
      </c>
      <c r="D297" t="str" cm="1">
        <f t="array" ref="D297">IFERROR(INDEX(Filter!$G:$G,_xlfn.AGGREGATE(15,6,Filter!$H:$H,ROW(A297))),"")</f>
        <v/>
      </c>
    </row>
    <row r="298" spans="3:4" x14ac:dyDescent="0.35">
      <c r="C298" t="str" cm="1">
        <f t="array" ref="C298">IFERROR(INDEX(Filter!$B:$B,_xlfn.AGGREGATE(15,6,Filter!$C:$C,ROW(A298))),"")</f>
        <v/>
      </c>
      <c r="D298" t="str" cm="1">
        <f t="array" ref="D298">IFERROR(INDEX(Filter!$G:$G,_xlfn.AGGREGATE(15,6,Filter!$H:$H,ROW(A298))),"")</f>
        <v/>
      </c>
    </row>
    <row r="299" spans="3:4" x14ac:dyDescent="0.35">
      <c r="C299" t="str" cm="1">
        <f t="array" ref="C299">IFERROR(INDEX(Filter!$B:$B,_xlfn.AGGREGATE(15,6,Filter!$C:$C,ROW(A299))),"")</f>
        <v/>
      </c>
      <c r="D299" t="str" cm="1">
        <f t="array" ref="D299">IFERROR(INDEX(Filter!$G:$G,_xlfn.AGGREGATE(15,6,Filter!$H:$H,ROW(A299))),"")</f>
        <v/>
      </c>
    </row>
    <row r="300" spans="3:4" x14ac:dyDescent="0.35">
      <c r="C300" t="str" cm="1">
        <f t="array" ref="C300">IFERROR(INDEX(Filter!$B:$B,_xlfn.AGGREGATE(15,6,Filter!$C:$C,ROW(A300))),"")</f>
        <v/>
      </c>
      <c r="D300" t="str" cm="1">
        <f t="array" ref="D300">IFERROR(INDEX(Filter!$G:$G,_xlfn.AGGREGATE(15,6,Filter!$H:$H,ROW(A300))),"")</f>
        <v/>
      </c>
    </row>
    <row r="301" spans="3:4" x14ac:dyDescent="0.35">
      <c r="C301" t="str" cm="1">
        <f t="array" ref="C301">IFERROR(INDEX(Filter!$B:$B,_xlfn.AGGREGATE(15,6,Filter!$C:$C,ROW(A301))),"")</f>
        <v/>
      </c>
      <c r="D301" t="str" cm="1">
        <f t="array" ref="D301">IFERROR(INDEX(Filter!$G:$G,_xlfn.AGGREGATE(15,6,Filter!$H:$H,ROW(A301))),"")</f>
        <v/>
      </c>
    </row>
    <row r="302" spans="3:4" x14ac:dyDescent="0.35">
      <c r="C302" t="str" cm="1">
        <f t="array" ref="C302">IFERROR(INDEX(Filter!$B:$B,_xlfn.AGGREGATE(15,6,Filter!$C:$C,ROW(A302))),"")</f>
        <v/>
      </c>
      <c r="D302" t="str" cm="1">
        <f t="array" ref="D302">IFERROR(INDEX(Filter!$G:$G,_xlfn.AGGREGATE(15,6,Filter!$H:$H,ROW(A302))),"")</f>
        <v/>
      </c>
    </row>
    <row r="303" spans="3:4" x14ac:dyDescent="0.35">
      <c r="C303" t="str" cm="1">
        <f t="array" ref="C303">IFERROR(INDEX(Filter!$B:$B,_xlfn.AGGREGATE(15,6,Filter!$C:$C,ROW(A303))),"")</f>
        <v/>
      </c>
      <c r="D303" t="str" cm="1">
        <f t="array" ref="D303">IFERROR(INDEX(Filter!$G:$G,_xlfn.AGGREGATE(15,6,Filter!$H:$H,ROW(A303))),"")</f>
        <v/>
      </c>
    </row>
    <row r="304" spans="3:4" x14ac:dyDescent="0.35">
      <c r="C304" t="str" cm="1">
        <f t="array" ref="C304">IFERROR(INDEX(Filter!$B:$B,_xlfn.AGGREGATE(15,6,Filter!$C:$C,ROW(A304))),"")</f>
        <v/>
      </c>
      <c r="D304" t="str" cm="1">
        <f t="array" ref="D304">IFERROR(INDEX(Filter!$G:$G,_xlfn.AGGREGATE(15,6,Filter!$H:$H,ROW(A304))),"")</f>
        <v/>
      </c>
    </row>
    <row r="305" spans="3:4" x14ac:dyDescent="0.35">
      <c r="C305" t="str" cm="1">
        <f t="array" ref="C305">IFERROR(INDEX(Filter!$B:$B,_xlfn.AGGREGATE(15,6,Filter!$C:$C,ROW(A305))),"")</f>
        <v/>
      </c>
      <c r="D305" t="str" cm="1">
        <f t="array" ref="D305">IFERROR(INDEX(Filter!$G:$G,_xlfn.AGGREGATE(15,6,Filter!$H:$H,ROW(A305))),"")</f>
        <v/>
      </c>
    </row>
    <row r="306" spans="3:4" x14ac:dyDescent="0.35">
      <c r="C306" t="str" cm="1">
        <f t="array" ref="C306">IFERROR(INDEX(Filter!$B:$B,_xlfn.AGGREGATE(15,6,Filter!$C:$C,ROW(A306))),"")</f>
        <v/>
      </c>
      <c r="D306" t="str" cm="1">
        <f t="array" ref="D306">IFERROR(INDEX(Filter!$G:$G,_xlfn.AGGREGATE(15,6,Filter!$H:$H,ROW(A306))),"")</f>
        <v/>
      </c>
    </row>
    <row r="307" spans="3:4" x14ac:dyDescent="0.35">
      <c r="C307" t="str" cm="1">
        <f t="array" ref="C307">IFERROR(INDEX(Filter!$B:$B,_xlfn.AGGREGATE(15,6,Filter!$C:$C,ROW(A307))),"")</f>
        <v/>
      </c>
      <c r="D307" t="str" cm="1">
        <f t="array" ref="D307">IFERROR(INDEX(Filter!$G:$G,_xlfn.AGGREGATE(15,6,Filter!$H:$H,ROW(A307))),"")</f>
        <v/>
      </c>
    </row>
    <row r="308" spans="3:4" x14ac:dyDescent="0.35">
      <c r="C308" t="str" cm="1">
        <f t="array" ref="C308">IFERROR(INDEX(Filter!$B:$B,_xlfn.AGGREGATE(15,6,Filter!$C:$C,ROW(A308))),"")</f>
        <v/>
      </c>
      <c r="D308" t="str" cm="1">
        <f t="array" ref="D308">IFERROR(INDEX(Filter!$G:$G,_xlfn.AGGREGATE(15,6,Filter!$H:$H,ROW(A308))),"")</f>
        <v/>
      </c>
    </row>
    <row r="309" spans="3:4" x14ac:dyDescent="0.35">
      <c r="C309" t="str" cm="1">
        <f t="array" ref="C309">IFERROR(INDEX(Filter!$B:$B,_xlfn.AGGREGATE(15,6,Filter!$C:$C,ROW(A309))),"")</f>
        <v/>
      </c>
      <c r="D309" t="str" cm="1">
        <f t="array" ref="D309">IFERROR(INDEX(Filter!$G:$G,_xlfn.AGGREGATE(15,6,Filter!$H:$H,ROW(A309))),"")</f>
        <v/>
      </c>
    </row>
    <row r="310" spans="3:4" x14ac:dyDescent="0.35">
      <c r="C310" t="str" cm="1">
        <f t="array" ref="C310">IFERROR(INDEX(Filter!$B:$B,_xlfn.AGGREGATE(15,6,Filter!$C:$C,ROW(A310))),"")</f>
        <v/>
      </c>
      <c r="D310" t="str" cm="1">
        <f t="array" ref="D310">IFERROR(INDEX(Filter!$G:$G,_xlfn.AGGREGATE(15,6,Filter!$H:$H,ROW(A310))),"")</f>
        <v/>
      </c>
    </row>
    <row r="311" spans="3:4" x14ac:dyDescent="0.35">
      <c r="C311" t="str" cm="1">
        <f t="array" ref="C311">IFERROR(INDEX(Filter!$B:$B,_xlfn.AGGREGATE(15,6,Filter!$C:$C,ROW(A311))),"")</f>
        <v/>
      </c>
      <c r="D311" t="str" cm="1">
        <f t="array" ref="D311">IFERROR(INDEX(Filter!$G:$G,_xlfn.AGGREGATE(15,6,Filter!$H:$H,ROW(A311))),"")</f>
        <v/>
      </c>
    </row>
    <row r="312" spans="3:4" x14ac:dyDescent="0.35">
      <c r="C312" t="str" cm="1">
        <f t="array" ref="C312">IFERROR(INDEX(Filter!$B:$B,_xlfn.AGGREGATE(15,6,Filter!$C:$C,ROW(A312))),"")</f>
        <v/>
      </c>
      <c r="D312" t="str" cm="1">
        <f t="array" ref="D312">IFERROR(INDEX(Filter!$G:$G,_xlfn.AGGREGATE(15,6,Filter!$H:$H,ROW(A312))),"")</f>
        <v/>
      </c>
    </row>
    <row r="313" spans="3:4" x14ac:dyDescent="0.35">
      <c r="C313" t="str" cm="1">
        <f t="array" ref="C313">IFERROR(INDEX(Filter!$B:$B,_xlfn.AGGREGATE(15,6,Filter!$C:$C,ROW(A313))),"")</f>
        <v/>
      </c>
      <c r="D313" t="str" cm="1">
        <f t="array" ref="D313">IFERROR(INDEX(Filter!$G:$G,_xlfn.AGGREGATE(15,6,Filter!$H:$H,ROW(A313))),"")</f>
        <v/>
      </c>
    </row>
    <row r="314" spans="3:4" x14ac:dyDescent="0.35">
      <c r="C314" t="str" cm="1">
        <f t="array" ref="C314">IFERROR(INDEX(Filter!$B:$B,_xlfn.AGGREGATE(15,6,Filter!$C:$C,ROW(A314))),"")</f>
        <v/>
      </c>
      <c r="D314" t="str" cm="1">
        <f t="array" ref="D314">IFERROR(INDEX(Filter!$G:$G,_xlfn.AGGREGATE(15,6,Filter!$H:$H,ROW(A314))),"")</f>
        <v/>
      </c>
    </row>
    <row r="315" spans="3:4" x14ac:dyDescent="0.35">
      <c r="C315" t="str" cm="1">
        <f t="array" ref="C315">IFERROR(INDEX(Filter!$B:$B,_xlfn.AGGREGATE(15,6,Filter!$C:$C,ROW(A315))),"")</f>
        <v/>
      </c>
      <c r="D315" t="str" cm="1">
        <f t="array" ref="D315">IFERROR(INDEX(Filter!$G:$G,_xlfn.AGGREGATE(15,6,Filter!$H:$H,ROW(A315))),"")</f>
        <v/>
      </c>
    </row>
    <row r="316" spans="3:4" x14ac:dyDescent="0.35">
      <c r="C316" t="str" cm="1">
        <f t="array" ref="C316">IFERROR(INDEX(Filter!$B:$B,_xlfn.AGGREGATE(15,6,Filter!$C:$C,ROW(A316))),"")</f>
        <v/>
      </c>
      <c r="D316" t="str" cm="1">
        <f t="array" ref="D316">IFERROR(INDEX(Filter!$G:$G,_xlfn.AGGREGATE(15,6,Filter!$H:$H,ROW(A316))),"")</f>
        <v/>
      </c>
    </row>
    <row r="317" spans="3:4" x14ac:dyDescent="0.35">
      <c r="C317" t="str" cm="1">
        <f t="array" ref="C317">IFERROR(INDEX(Filter!$B:$B,_xlfn.AGGREGATE(15,6,Filter!$C:$C,ROW(A317))),"")</f>
        <v/>
      </c>
      <c r="D317" t="str" cm="1">
        <f t="array" ref="D317">IFERROR(INDEX(Filter!$G:$G,_xlfn.AGGREGATE(15,6,Filter!$H:$H,ROW(A317))),"")</f>
        <v/>
      </c>
    </row>
    <row r="318" spans="3:4" x14ac:dyDescent="0.35">
      <c r="C318" t="str" cm="1">
        <f t="array" ref="C318">IFERROR(INDEX(Filter!$B:$B,_xlfn.AGGREGATE(15,6,Filter!$C:$C,ROW(A318))),"")</f>
        <v/>
      </c>
      <c r="D318" t="str" cm="1">
        <f t="array" ref="D318">IFERROR(INDEX(Filter!$G:$G,_xlfn.AGGREGATE(15,6,Filter!$H:$H,ROW(A318))),"")</f>
        <v/>
      </c>
    </row>
    <row r="319" spans="3:4" x14ac:dyDescent="0.35">
      <c r="C319" t="str" cm="1">
        <f t="array" ref="C319">IFERROR(INDEX(Filter!$B:$B,_xlfn.AGGREGATE(15,6,Filter!$C:$C,ROW(A319))),"")</f>
        <v/>
      </c>
      <c r="D319" t="str" cm="1">
        <f t="array" ref="D319">IFERROR(INDEX(Filter!$G:$G,_xlfn.AGGREGATE(15,6,Filter!$H:$H,ROW(A319))),"")</f>
        <v/>
      </c>
    </row>
    <row r="320" spans="3:4" x14ac:dyDescent="0.35">
      <c r="C320" t="str" cm="1">
        <f t="array" ref="C320">IFERROR(INDEX(Filter!$B:$B,_xlfn.AGGREGATE(15,6,Filter!$C:$C,ROW(A320))),"")</f>
        <v/>
      </c>
      <c r="D320" t="str" cm="1">
        <f t="array" ref="D320">IFERROR(INDEX(Filter!$G:$G,_xlfn.AGGREGATE(15,6,Filter!$H:$H,ROW(A320))),"")</f>
        <v/>
      </c>
    </row>
    <row r="321" spans="3:4" x14ac:dyDescent="0.35">
      <c r="C321" t="str" cm="1">
        <f t="array" ref="C321">IFERROR(INDEX(Filter!$B:$B,_xlfn.AGGREGATE(15,6,Filter!$C:$C,ROW(A321))),"")</f>
        <v/>
      </c>
      <c r="D321" t="str" cm="1">
        <f t="array" ref="D321">IFERROR(INDEX(Filter!$G:$G,_xlfn.AGGREGATE(15,6,Filter!$H:$H,ROW(A321))),"")</f>
        <v/>
      </c>
    </row>
    <row r="322" spans="3:4" x14ac:dyDescent="0.35">
      <c r="C322" t="str" cm="1">
        <f t="array" ref="C322">IFERROR(INDEX(Filter!$B:$B,_xlfn.AGGREGATE(15,6,Filter!$C:$C,ROW(A322))),"")</f>
        <v/>
      </c>
      <c r="D322" t="str" cm="1">
        <f t="array" ref="D322">IFERROR(INDEX(Filter!$G:$G,_xlfn.AGGREGATE(15,6,Filter!$H:$H,ROW(A322))),"")</f>
        <v/>
      </c>
    </row>
    <row r="323" spans="3:4" x14ac:dyDescent="0.35">
      <c r="C323" t="str" cm="1">
        <f t="array" ref="C323">IFERROR(INDEX(Filter!$B:$B,_xlfn.AGGREGATE(15,6,Filter!$C:$C,ROW(A323))),"")</f>
        <v/>
      </c>
      <c r="D323" t="str" cm="1">
        <f t="array" ref="D323">IFERROR(INDEX(Filter!$G:$G,_xlfn.AGGREGATE(15,6,Filter!$H:$H,ROW(A323))),"")</f>
        <v/>
      </c>
    </row>
    <row r="324" spans="3:4" x14ac:dyDescent="0.35">
      <c r="C324" t="str" cm="1">
        <f t="array" ref="C324">IFERROR(INDEX(Filter!$B:$B,_xlfn.AGGREGATE(15,6,Filter!$C:$C,ROW(A324))),"")</f>
        <v/>
      </c>
      <c r="D324" t="str" cm="1">
        <f t="array" ref="D324">IFERROR(INDEX(Filter!$G:$G,_xlfn.AGGREGATE(15,6,Filter!$H:$H,ROW(A324))),"")</f>
        <v/>
      </c>
    </row>
    <row r="325" spans="3:4" x14ac:dyDescent="0.35">
      <c r="C325" t="str" cm="1">
        <f t="array" ref="C325">IFERROR(INDEX(Filter!$B:$B,_xlfn.AGGREGATE(15,6,Filter!$C:$C,ROW(A325))),"")</f>
        <v/>
      </c>
      <c r="D325" t="str" cm="1">
        <f t="array" ref="D325">IFERROR(INDEX(Filter!$G:$G,_xlfn.AGGREGATE(15,6,Filter!$H:$H,ROW(A325))),"")</f>
        <v/>
      </c>
    </row>
    <row r="326" spans="3:4" x14ac:dyDescent="0.35">
      <c r="C326" t="str" cm="1">
        <f t="array" ref="C326">IFERROR(INDEX(Filter!$B:$B,_xlfn.AGGREGATE(15,6,Filter!$C:$C,ROW(A326))),"")</f>
        <v/>
      </c>
      <c r="D326" t="str" cm="1">
        <f t="array" ref="D326">IFERROR(INDEX(Filter!$G:$G,_xlfn.AGGREGATE(15,6,Filter!$H:$H,ROW(A326))),"")</f>
        <v/>
      </c>
    </row>
    <row r="327" spans="3:4" x14ac:dyDescent="0.35">
      <c r="C327" t="str" cm="1">
        <f t="array" ref="C327">IFERROR(INDEX(Filter!$B:$B,_xlfn.AGGREGATE(15,6,Filter!$C:$C,ROW(A327))),"")</f>
        <v/>
      </c>
      <c r="D327" t="str" cm="1">
        <f t="array" ref="D327">IFERROR(INDEX(Filter!$G:$G,_xlfn.AGGREGATE(15,6,Filter!$H:$H,ROW(A327))),"")</f>
        <v/>
      </c>
    </row>
    <row r="328" spans="3:4" x14ac:dyDescent="0.35">
      <c r="C328" t="str" cm="1">
        <f t="array" ref="C328">IFERROR(INDEX(Filter!$B:$B,_xlfn.AGGREGATE(15,6,Filter!$C:$C,ROW(A328))),"")</f>
        <v/>
      </c>
      <c r="D328" t="str" cm="1">
        <f t="array" ref="D328">IFERROR(INDEX(Filter!$G:$G,_xlfn.AGGREGATE(15,6,Filter!$H:$H,ROW(A328))),"")</f>
        <v/>
      </c>
    </row>
    <row r="329" spans="3:4" x14ac:dyDescent="0.35">
      <c r="C329" t="str" cm="1">
        <f t="array" ref="C329">IFERROR(INDEX(Filter!$B:$B,_xlfn.AGGREGATE(15,6,Filter!$C:$C,ROW(A329))),"")</f>
        <v/>
      </c>
      <c r="D329" t="str" cm="1">
        <f t="array" ref="D329">IFERROR(INDEX(Filter!$G:$G,_xlfn.AGGREGATE(15,6,Filter!$H:$H,ROW(A329))),"")</f>
        <v/>
      </c>
    </row>
    <row r="330" spans="3:4" x14ac:dyDescent="0.35">
      <c r="C330" t="str" cm="1">
        <f t="array" ref="C330">IFERROR(INDEX(Filter!$B:$B,_xlfn.AGGREGATE(15,6,Filter!$C:$C,ROW(A330))),"")</f>
        <v/>
      </c>
      <c r="D330" t="str" cm="1">
        <f t="array" ref="D330">IFERROR(INDEX(Filter!$G:$G,_xlfn.AGGREGATE(15,6,Filter!$H:$H,ROW(A330))),"")</f>
        <v/>
      </c>
    </row>
    <row r="331" spans="3:4" x14ac:dyDescent="0.35">
      <c r="C331" t="str" cm="1">
        <f t="array" ref="C331">IFERROR(INDEX(Filter!$B:$B,_xlfn.AGGREGATE(15,6,Filter!$C:$C,ROW(A331))),"")</f>
        <v/>
      </c>
      <c r="D331" t="str" cm="1">
        <f t="array" ref="D331">IFERROR(INDEX(Filter!$G:$G,_xlfn.AGGREGATE(15,6,Filter!$H:$H,ROW(A331))),"")</f>
        <v/>
      </c>
    </row>
    <row r="332" spans="3:4" x14ac:dyDescent="0.35">
      <c r="C332" t="str" cm="1">
        <f t="array" ref="C332">IFERROR(INDEX(Filter!$B:$B,_xlfn.AGGREGATE(15,6,Filter!$C:$C,ROW(A332))),"")</f>
        <v/>
      </c>
      <c r="D332" t="str" cm="1">
        <f t="array" ref="D332">IFERROR(INDEX(Filter!$G:$G,_xlfn.AGGREGATE(15,6,Filter!$H:$H,ROW(A332))),"")</f>
        <v/>
      </c>
    </row>
    <row r="333" spans="3:4" x14ac:dyDescent="0.35">
      <c r="C333" t="str" cm="1">
        <f t="array" ref="C333">IFERROR(INDEX(Filter!$B:$B,_xlfn.AGGREGATE(15,6,Filter!$C:$C,ROW(A333))),"")</f>
        <v/>
      </c>
      <c r="D333" t="str" cm="1">
        <f t="array" ref="D333">IFERROR(INDEX(Filter!$G:$G,_xlfn.AGGREGATE(15,6,Filter!$H:$H,ROW(A333))),"")</f>
        <v/>
      </c>
    </row>
    <row r="334" spans="3:4" x14ac:dyDescent="0.35">
      <c r="C334" t="str" cm="1">
        <f t="array" ref="C334">IFERROR(INDEX(Filter!$B:$B,_xlfn.AGGREGATE(15,6,Filter!$C:$C,ROW(A334))),"")</f>
        <v/>
      </c>
      <c r="D334" t="str" cm="1">
        <f t="array" ref="D334">IFERROR(INDEX(Filter!$G:$G,_xlfn.AGGREGATE(15,6,Filter!$H:$H,ROW(A334))),"")</f>
        <v/>
      </c>
    </row>
    <row r="335" spans="3:4" x14ac:dyDescent="0.35">
      <c r="C335" t="str" cm="1">
        <f t="array" ref="C335">IFERROR(INDEX(Filter!$B:$B,_xlfn.AGGREGATE(15,6,Filter!$C:$C,ROW(A335))),"")</f>
        <v/>
      </c>
      <c r="D335" t="str" cm="1">
        <f t="array" ref="D335">IFERROR(INDEX(Filter!$G:$G,_xlfn.AGGREGATE(15,6,Filter!$H:$H,ROW(A335))),"")</f>
        <v/>
      </c>
    </row>
    <row r="336" spans="3:4" x14ac:dyDescent="0.35">
      <c r="C336" t="str" cm="1">
        <f t="array" ref="C336">IFERROR(INDEX(Filter!$B:$B,_xlfn.AGGREGATE(15,6,Filter!$C:$C,ROW(A336))),"")</f>
        <v/>
      </c>
      <c r="D336" t="str" cm="1">
        <f t="array" ref="D336">IFERROR(INDEX(Filter!$G:$G,_xlfn.AGGREGATE(15,6,Filter!$H:$H,ROW(A336))),"")</f>
        <v/>
      </c>
    </row>
    <row r="337" spans="3:4" x14ac:dyDescent="0.35">
      <c r="C337" t="str" cm="1">
        <f t="array" ref="C337">IFERROR(INDEX(Filter!$B:$B,_xlfn.AGGREGATE(15,6,Filter!$C:$C,ROW(A337))),"")</f>
        <v/>
      </c>
      <c r="D337" t="str" cm="1">
        <f t="array" ref="D337">IFERROR(INDEX(Filter!$G:$G,_xlfn.AGGREGATE(15,6,Filter!$H:$H,ROW(A337))),"")</f>
        <v/>
      </c>
    </row>
    <row r="338" spans="3:4" x14ac:dyDescent="0.35">
      <c r="C338" t="str" cm="1">
        <f t="array" ref="C338">IFERROR(INDEX(Filter!$B:$B,_xlfn.AGGREGATE(15,6,Filter!$C:$C,ROW(A338))),"")</f>
        <v/>
      </c>
      <c r="D338" t="str" cm="1">
        <f t="array" ref="D338">IFERROR(INDEX(Filter!$G:$G,_xlfn.AGGREGATE(15,6,Filter!$H:$H,ROW(A338))),"")</f>
        <v/>
      </c>
    </row>
    <row r="339" spans="3:4" x14ac:dyDescent="0.35">
      <c r="C339" t="str" cm="1">
        <f t="array" ref="C339">IFERROR(INDEX(Filter!$B:$B,_xlfn.AGGREGATE(15,6,Filter!$C:$C,ROW(A339))),"")</f>
        <v/>
      </c>
      <c r="D339" t="str" cm="1">
        <f t="array" ref="D339">IFERROR(INDEX(Filter!$G:$G,_xlfn.AGGREGATE(15,6,Filter!$H:$H,ROW(A339))),"")</f>
        <v/>
      </c>
    </row>
    <row r="340" spans="3:4" x14ac:dyDescent="0.35">
      <c r="C340" t="str" cm="1">
        <f t="array" ref="C340">IFERROR(INDEX(Filter!$B:$B,_xlfn.AGGREGATE(15,6,Filter!$C:$C,ROW(A340))),"")</f>
        <v/>
      </c>
      <c r="D340" t="str" cm="1">
        <f t="array" ref="D340">IFERROR(INDEX(Filter!$G:$G,_xlfn.AGGREGATE(15,6,Filter!$H:$H,ROW(A340))),"")</f>
        <v/>
      </c>
    </row>
    <row r="341" spans="3:4" x14ac:dyDescent="0.35">
      <c r="C341" t="str" cm="1">
        <f t="array" ref="C341">IFERROR(INDEX(Filter!$B:$B,_xlfn.AGGREGATE(15,6,Filter!$C:$C,ROW(A341))),"")</f>
        <v/>
      </c>
      <c r="D341" t="str" cm="1">
        <f t="array" ref="D341">IFERROR(INDEX(Filter!$G:$G,_xlfn.AGGREGATE(15,6,Filter!$H:$H,ROW(A341))),"")</f>
        <v/>
      </c>
    </row>
    <row r="342" spans="3:4" x14ac:dyDescent="0.35">
      <c r="C342" t="str" cm="1">
        <f t="array" ref="C342">IFERROR(INDEX(Filter!$B:$B,_xlfn.AGGREGATE(15,6,Filter!$C:$C,ROW(A342))),"")</f>
        <v/>
      </c>
      <c r="D342" t="str" cm="1">
        <f t="array" ref="D342">IFERROR(INDEX(Filter!$G:$G,_xlfn.AGGREGATE(15,6,Filter!$H:$H,ROW(A342))),"")</f>
        <v/>
      </c>
    </row>
    <row r="343" spans="3:4" x14ac:dyDescent="0.35">
      <c r="C343" t="str" cm="1">
        <f t="array" ref="C343">IFERROR(INDEX(Filter!$B:$B,_xlfn.AGGREGATE(15,6,Filter!$C:$C,ROW(A343))),"")</f>
        <v/>
      </c>
      <c r="D343" t="str" cm="1">
        <f t="array" ref="D343">IFERROR(INDEX(Filter!$G:$G,_xlfn.AGGREGATE(15,6,Filter!$H:$H,ROW(A343))),"")</f>
        <v/>
      </c>
    </row>
    <row r="344" spans="3:4" x14ac:dyDescent="0.35">
      <c r="C344" t="str" cm="1">
        <f t="array" ref="C344">IFERROR(INDEX(Filter!$B:$B,_xlfn.AGGREGATE(15,6,Filter!$C:$C,ROW(A344))),"")</f>
        <v/>
      </c>
      <c r="D344" t="str" cm="1">
        <f t="array" ref="D344">IFERROR(INDEX(Filter!$G:$G,_xlfn.AGGREGATE(15,6,Filter!$H:$H,ROW(A344))),"")</f>
        <v/>
      </c>
    </row>
    <row r="345" spans="3:4" x14ac:dyDescent="0.35">
      <c r="C345" t="str" cm="1">
        <f t="array" ref="C345">IFERROR(INDEX(Filter!$B:$B,_xlfn.AGGREGATE(15,6,Filter!$C:$C,ROW(A345))),"")</f>
        <v/>
      </c>
      <c r="D345" t="str" cm="1">
        <f t="array" ref="D345">IFERROR(INDEX(Filter!$G:$G,_xlfn.AGGREGATE(15,6,Filter!$H:$H,ROW(A345))),"")</f>
        <v/>
      </c>
    </row>
    <row r="346" spans="3:4" x14ac:dyDescent="0.35">
      <c r="C346" t="str" cm="1">
        <f t="array" ref="C346">IFERROR(INDEX(Filter!$B:$B,_xlfn.AGGREGATE(15,6,Filter!$C:$C,ROW(A346))),"")</f>
        <v/>
      </c>
      <c r="D346" t="str" cm="1">
        <f t="array" ref="D346">IFERROR(INDEX(Filter!$G:$G,_xlfn.AGGREGATE(15,6,Filter!$H:$H,ROW(A346))),"")</f>
        <v/>
      </c>
    </row>
    <row r="347" spans="3:4" x14ac:dyDescent="0.35">
      <c r="C347" t="str" cm="1">
        <f t="array" ref="C347">IFERROR(INDEX(Filter!$B:$B,_xlfn.AGGREGATE(15,6,Filter!$C:$C,ROW(A347))),"")</f>
        <v/>
      </c>
      <c r="D347" t="str" cm="1">
        <f t="array" ref="D347">IFERROR(INDEX(Filter!$G:$G,_xlfn.AGGREGATE(15,6,Filter!$H:$H,ROW(A347))),"")</f>
        <v/>
      </c>
    </row>
    <row r="348" spans="3:4" x14ac:dyDescent="0.35">
      <c r="C348" t="str" cm="1">
        <f t="array" ref="C348">IFERROR(INDEX(Filter!$B:$B,_xlfn.AGGREGATE(15,6,Filter!$C:$C,ROW(A348))),"")</f>
        <v/>
      </c>
      <c r="D348" t="str" cm="1">
        <f t="array" ref="D348">IFERROR(INDEX(Filter!$G:$G,_xlfn.AGGREGATE(15,6,Filter!$H:$H,ROW(A348))),"")</f>
        <v/>
      </c>
    </row>
    <row r="349" spans="3:4" x14ac:dyDescent="0.35">
      <c r="C349" t="str" cm="1">
        <f t="array" ref="C349">IFERROR(INDEX(Filter!$B:$B,_xlfn.AGGREGATE(15,6,Filter!$C:$C,ROW(A349))),"")</f>
        <v/>
      </c>
      <c r="D349" t="str" cm="1">
        <f t="array" ref="D349">IFERROR(INDEX(Filter!$G:$G,_xlfn.AGGREGATE(15,6,Filter!$H:$H,ROW(A349))),"")</f>
        <v/>
      </c>
    </row>
    <row r="350" spans="3:4" x14ac:dyDescent="0.35">
      <c r="C350" t="str" cm="1">
        <f t="array" ref="C350">IFERROR(INDEX(Filter!$B:$B,_xlfn.AGGREGATE(15,6,Filter!$C:$C,ROW(A350))),"")</f>
        <v/>
      </c>
      <c r="D350" t="str" cm="1">
        <f t="array" ref="D350">IFERROR(INDEX(Filter!$G:$G,_xlfn.AGGREGATE(15,6,Filter!$H:$H,ROW(A350))),"")</f>
        <v/>
      </c>
    </row>
    <row r="351" spans="3:4" x14ac:dyDescent="0.35">
      <c r="C351" t="str" cm="1">
        <f t="array" ref="C351">IFERROR(INDEX(Filter!$B:$B,_xlfn.AGGREGATE(15,6,Filter!$C:$C,ROW(A351))),"")</f>
        <v/>
      </c>
      <c r="D351" t="str" cm="1">
        <f t="array" ref="D351">IFERROR(INDEX(Filter!$G:$G,_xlfn.AGGREGATE(15,6,Filter!$H:$H,ROW(A351))),"")</f>
        <v/>
      </c>
    </row>
    <row r="352" spans="3:4" x14ac:dyDescent="0.35">
      <c r="C352" t="str" cm="1">
        <f t="array" ref="C352">IFERROR(INDEX(Filter!$B:$B,_xlfn.AGGREGATE(15,6,Filter!$C:$C,ROW(A352))),"")</f>
        <v/>
      </c>
      <c r="D352" t="str" cm="1">
        <f t="array" ref="D352">IFERROR(INDEX(Filter!$G:$G,_xlfn.AGGREGATE(15,6,Filter!$H:$H,ROW(A352))),"")</f>
        <v/>
      </c>
    </row>
    <row r="353" spans="3:4" x14ac:dyDescent="0.35">
      <c r="C353" t="str" cm="1">
        <f t="array" ref="C353">IFERROR(INDEX(Filter!$B:$B,_xlfn.AGGREGATE(15,6,Filter!$C:$C,ROW(A353))),"")</f>
        <v/>
      </c>
      <c r="D353" t="str" cm="1">
        <f t="array" ref="D353">IFERROR(INDEX(Filter!$G:$G,_xlfn.AGGREGATE(15,6,Filter!$H:$H,ROW(A353))),"")</f>
        <v/>
      </c>
    </row>
    <row r="354" spans="3:4" x14ac:dyDescent="0.35">
      <c r="C354" t="str" cm="1">
        <f t="array" ref="C354">IFERROR(INDEX(Filter!$B:$B,_xlfn.AGGREGATE(15,6,Filter!$C:$C,ROW(A354))),"")</f>
        <v/>
      </c>
      <c r="D354" t="str" cm="1">
        <f t="array" ref="D354">IFERROR(INDEX(Filter!$G:$G,_xlfn.AGGREGATE(15,6,Filter!$H:$H,ROW(A354))),"")</f>
        <v/>
      </c>
    </row>
    <row r="355" spans="3:4" x14ac:dyDescent="0.35">
      <c r="C355" t="str" cm="1">
        <f t="array" ref="C355">IFERROR(INDEX(Filter!$B:$B,_xlfn.AGGREGATE(15,6,Filter!$C:$C,ROW(A355))),"")</f>
        <v/>
      </c>
      <c r="D355" t="str" cm="1">
        <f t="array" ref="D355">IFERROR(INDEX(Filter!$G:$G,_xlfn.AGGREGATE(15,6,Filter!$H:$H,ROW(A355))),"")</f>
        <v/>
      </c>
    </row>
    <row r="356" spans="3:4" x14ac:dyDescent="0.35">
      <c r="C356" t="str" cm="1">
        <f t="array" ref="C356">IFERROR(INDEX(Filter!$B:$B,_xlfn.AGGREGATE(15,6,Filter!$C:$C,ROW(A356))),"")</f>
        <v/>
      </c>
      <c r="D356" t="str" cm="1">
        <f t="array" ref="D356">IFERROR(INDEX(Filter!$G:$G,_xlfn.AGGREGATE(15,6,Filter!$H:$H,ROW(A356))),"")</f>
        <v/>
      </c>
    </row>
    <row r="357" spans="3:4" x14ac:dyDescent="0.35">
      <c r="C357" t="str" cm="1">
        <f t="array" ref="C357">IFERROR(INDEX(Filter!$B:$B,_xlfn.AGGREGATE(15,6,Filter!$C:$C,ROW(A357))),"")</f>
        <v/>
      </c>
      <c r="D357" t="str" cm="1">
        <f t="array" ref="D357">IFERROR(INDEX(Filter!$G:$G,_xlfn.AGGREGATE(15,6,Filter!$H:$H,ROW(A357))),"")</f>
        <v/>
      </c>
    </row>
    <row r="358" spans="3:4" x14ac:dyDescent="0.35">
      <c r="C358" t="str" cm="1">
        <f t="array" ref="C358">IFERROR(INDEX(Filter!$B:$B,_xlfn.AGGREGATE(15,6,Filter!$C:$C,ROW(A358))),"")</f>
        <v/>
      </c>
      <c r="D358" t="str" cm="1">
        <f t="array" ref="D358">IFERROR(INDEX(Filter!$G:$G,_xlfn.AGGREGATE(15,6,Filter!$H:$H,ROW(A358))),"")</f>
        <v/>
      </c>
    </row>
    <row r="359" spans="3:4" x14ac:dyDescent="0.35">
      <c r="C359" t="str" cm="1">
        <f t="array" ref="C359">IFERROR(INDEX(Filter!$B:$B,_xlfn.AGGREGATE(15,6,Filter!$C:$C,ROW(A359))),"")</f>
        <v/>
      </c>
      <c r="D359" t="str" cm="1">
        <f t="array" ref="D359">IFERROR(INDEX(Filter!$G:$G,_xlfn.AGGREGATE(15,6,Filter!$H:$H,ROW(A359))),"")</f>
        <v/>
      </c>
    </row>
    <row r="360" spans="3:4" x14ac:dyDescent="0.35">
      <c r="C360" t="str" cm="1">
        <f t="array" ref="C360">IFERROR(INDEX(Filter!$B:$B,_xlfn.AGGREGATE(15,6,Filter!$C:$C,ROW(A360))),"")</f>
        <v/>
      </c>
      <c r="D360" t="str" cm="1">
        <f t="array" ref="D360">IFERROR(INDEX(Filter!$G:$G,_xlfn.AGGREGATE(15,6,Filter!$H:$H,ROW(A360))),"")</f>
        <v/>
      </c>
    </row>
    <row r="361" spans="3:4" x14ac:dyDescent="0.35">
      <c r="D361" t="str" cm="1">
        <f t="array" ref="D361">IFERROR(INDEX(Filter!$G:$G,_xlfn.AGGREGATE(15,6,Filter!$H:$H,ROW(A361))),"")</f>
        <v/>
      </c>
    </row>
    <row r="362" spans="3:4" x14ac:dyDescent="0.35">
      <c r="D362" t="str" cm="1">
        <f t="array" ref="D362">IFERROR(INDEX(Filter!$G:$G,_xlfn.AGGREGATE(15,6,Filter!$H:$H,ROW(A362))),"")</f>
        <v/>
      </c>
    </row>
    <row r="363" spans="3:4" x14ac:dyDescent="0.35">
      <c r="D363" t="str" cm="1">
        <f t="array" ref="D363">IFERROR(INDEX(Filter!$G:$G,_xlfn.AGGREGATE(15,6,Filter!$H:$H,ROW(A363))),"")</f>
        <v/>
      </c>
    </row>
    <row r="364" spans="3:4" x14ac:dyDescent="0.35">
      <c r="D364" t="str" cm="1">
        <f t="array" ref="D364">IFERROR(INDEX(Filter!$G:$G,_xlfn.AGGREGATE(15,6,Filter!$H:$H,ROW(A364))),"")</f>
        <v/>
      </c>
    </row>
    <row r="365" spans="3:4" x14ac:dyDescent="0.35">
      <c r="D365" t="str" cm="1">
        <f t="array" ref="D365">IFERROR(INDEX(Filter!$G:$G,_xlfn.AGGREGATE(15,6,Filter!$H:$H,ROW(A365))),"")</f>
        <v/>
      </c>
    </row>
    <row r="366" spans="3:4" x14ac:dyDescent="0.35">
      <c r="D366" t="str" cm="1">
        <f t="array" ref="D366">IFERROR(INDEX(Filter!$G:$G,_xlfn.AGGREGATE(15,6,Filter!$H:$H,ROW(A366))),"")</f>
        <v/>
      </c>
    </row>
    <row r="367" spans="3:4" x14ac:dyDescent="0.35">
      <c r="D367" t="str" cm="1">
        <f t="array" ref="D367">IFERROR(INDEX(Filter!$G:$G,_xlfn.AGGREGATE(15,6,Filter!$H:$H,ROW(A367))),"")</f>
        <v/>
      </c>
    </row>
    <row r="368" spans="3:4" x14ac:dyDescent="0.35">
      <c r="D368" t="str" cm="1">
        <f t="array" ref="D368">IFERROR(INDEX(Filter!$G:$G,_xlfn.AGGREGATE(15,6,Filter!$H:$H,ROW(A368))),"")</f>
        <v/>
      </c>
    </row>
    <row r="369" spans="4:4" x14ac:dyDescent="0.35">
      <c r="D369" t="str" cm="1">
        <f t="array" ref="D369">IFERROR(INDEX(Filter!$G:$G,_xlfn.AGGREGATE(15,6,Filter!$H:$H,ROW(A369))),"")</f>
        <v/>
      </c>
    </row>
    <row r="370" spans="4:4" x14ac:dyDescent="0.35">
      <c r="D370" t="str" cm="1">
        <f t="array" ref="D370">IFERROR(INDEX(Filter!$G:$G,_xlfn.AGGREGATE(15,6,Filter!$H:$H,ROW(A370))),"")</f>
        <v/>
      </c>
    </row>
    <row r="371" spans="4:4" x14ac:dyDescent="0.35">
      <c r="D371" t="str" cm="1">
        <f t="array" ref="D371">IFERROR(INDEX(Filter!$G:$G,_xlfn.AGGREGATE(15,6,Filter!$H:$H,ROW(A371))),"")</f>
        <v/>
      </c>
    </row>
    <row r="372" spans="4:4" x14ac:dyDescent="0.35">
      <c r="D372" t="str" cm="1">
        <f t="array" ref="D372">IFERROR(INDEX(Filter!$G:$G,_xlfn.AGGREGATE(15,6,Filter!$H:$H,ROW(A372))),"")</f>
        <v/>
      </c>
    </row>
    <row r="373" spans="4:4" x14ac:dyDescent="0.35">
      <c r="D373" t="str" cm="1">
        <f t="array" ref="D373">IFERROR(INDEX(Filter!$G:$G,_xlfn.AGGREGATE(15,6,Filter!$H:$H,ROW(A373))),"")</f>
        <v/>
      </c>
    </row>
    <row r="374" spans="4:4" x14ac:dyDescent="0.35">
      <c r="D374" t="str" cm="1">
        <f t="array" ref="D374">IFERROR(INDEX(Filter!$G:$G,_xlfn.AGGREGATE(15,6,Filter!$H:$H,ROW(A374))),"")</f>
        <v/>
      </c>
    </row>
    <row r="375" spans="4:4" x14ac:dyDescent="0.35">
      <c r="D375" t="str" cm="1">
        <f t="array" ref="D375">IFERROR(INDEX(Filter!$G:$G,_xlfn.AGGREGATE(15,6,Filter!$H:$H,ROW(A375))),"")</f>
        <v/>
      </c>
    </row>
    <row r="376" spans="4:4" x14ac:dyDescent="0.35">
      <c r="D376" t="str" cm="1">
        <f t="array" ref="D376">IFERROR(INDEX(Filter!$G:$G,_xlfn.AGGREGATE(15,6,Filter!$H:$H,ROW(A376))),"")</f>
        <v/>
      </c>
    </row>
    <row r="377" spans="4:4" x14ac:dyDescent="0.35">
      <c r="D377" t="str" cm="1">
        <f t="array" ref="D377">IFERROR(INDEX(Filter!$G:$G,_xlfn.AGGREGATE(15,6,Filter!$H:$H,ROW(A377))),"")</f>
        <v/>
      </c>
    </row>
    <row r="378" spans="4:4" x14ac:dyDescent="0.35">
      <c r="D378" t="str" cm="1">
        <f t="array" ref="D378">IFERROR(INDEX(Filter!$G:$G,_xlfn.AGGREGATE(15,6,Filter!$H:$H,ROW(A378))),"")</f>
        <v/>
      </c>
    </row>
    <row r="379" spans="4:4" x14ac:dyDescent="0.35">
      <c r="D379" t="str" cm="1">
        <f t="array" ref="D379">IFERROR(INDEX(Filter!$G:$G,_xlfn.AGGREGATE(15,6,Filter!$H:$H,ROW(A379))),"")</f>
        <v/>
      </c>
    </row>
    <row r="380" spans="4:4" x14ac:dyDescent="0.35">
      <c r="D380" t="str" cm="1">
        <f t="array" ref="D380">IFERROR(INDEX(Filter!$G:$G,_xlfn.AGGREGATE(15,6,Filter!$H:$H,ROW(A380))),"")</f>
        <v/>
      </c>
    </row>
    <row r="381" spans="4:4" x14ac:dyDescent="0.35">
      <c r="D381" t="str" cm="1">
        <f t="array" ref="D381">IFERROR(INDEX(Filter!$G:$G,_xlfn.AGGREGATE(15,6,Filter!$H:$H,ROW(A381))),"")</f>
        <v/>
      </c>
    </row>
    <row r="382" spans="4:4" x14ac:dyDescent="0.35">
      <c r="D382" t="str" cm="1">
        <f t="array" ref="D382">IFERROR(INDEX(Filter!$G:$G,_xlfn.AGGREGATE(15,6,Filter!$H:$H,ROW(A382))),"")</f>
        <v/>
      </c>
    </row>
    <row r="383" spans="4:4" x14ac:dyDescent="0.35">
      <c r="D383" t="str" cm="1">
        <f t="array" ref="D383">IFERROR(INDEX(Filter!$G:$G,_xlfn.AGGREGATE(15,6,Filter!$H:$H,ROW(A383))),"")</f>
        <v/>
      </c>
    </row>
    <row r="384" spans="4:4" x14ac:dyDescent="0.35">
      <c r="D384" t="str" cm="1">
        <f t="array" ref="D384">IFERROR(INDEX(Filter!$G:$G,_xlfn.AGGREGATE(15,6,Filter!$H:$H,ROW(A384))),"")</f>
        <v/>
      </c>
    </row>
    <row r="385" spans="4:4" x14ac:dyDescent="0.35">
      <c r="D385" t="str" cm="1">
        <f t="array" ref="D385">IFERROR(INDEX(Filter!$G:$G,_xlfn.AGGREGATE(15,6,Filter!$H:$H,ROW(A385))),"")</f>
        <v/>
      </c>
    </row>
    <row r="386" spans="4:4" x14ac:dyDescent="0.35">
      <c r="D386" t="str" cm="1">
        <f t="array" ref="D386">IFERROR(INDEX(Filter!$G:$G,_xlfn.AGGREGATE(15,6,Filter!$H:$H,ROW(A386))),"")</f>
        <v/>
      </c>
    </row>
    <row r="387" spans="4:4" x14ac:dyDescent="0.35">
      <c r="D387" t="str" cm="1">
        <f t="array" ref="D387">IFERROR(INDEX(Filter!$G:$G,_xlfn.AGGREGATE(15,6,Filter!$H:$H,ROW(A387))),"")</f>
        <v/>
      </c>
    </row>
    <row r="388" spans="4:4" x14ac:dyDescent="0.35">
      <c r="D388" t="str" cm="1">
        <f t="array" ref="D388">IFERROR(INDEX(Filter!$G:$G,_xlfn.AGGREGATE(15,6,Filter!$H:$H,ROW(A388))),"")</f>
        <v/>
      </c>
    </row>
    <row r="389" spans="4:4" x14ac:dyDescent="0.35">
      <c r="D389" t="str" cm="1">
        <f t="array" ref="D389">IFERROR(INDEX(Filter!$G:$G,_xlfn.AGGREGATE(15,6,Filter!$H:$H,ROW(A389))),"")</f>
        <v/>
      </c>
    </row>
    <row r="390" spans="4:4" x14ac:dyDescent="0.35">
      <c r="D390" t="str" cm="1">
        <f t="array" ref="D390">IFERROR(INDEX(Filter!$G:$G,_xlfn.AGGREGATE(15,6,Filter!$H:$H,ROW(A390))),"")</f>
        <v/>
      </c>
    </row>
    <row r="391" spans="4:4" x14ac:dyDescent="0.35">
      <c r="D391" t="str" cm="1">
        <f t="array" ref="D391">IFERROR(INDEX(Filter!$G:$G,_xlfn.AGGREGATE(15,6,Filter!$H:$H,ROW(A391))),"")</f>
        <v/>
      </c>
    </row>
    <row r="392" spans="4:4" x14ac:dyDescent="0.35">
      <c r="D392" t="str" cm="1">
        <f t="array" ref="D392">IFERROR(INDEX(Filter!$G:$G,_xlfn.AGGREGATE(15,6,Filter!$H:$H,ROW(A392))),"")</f>
        <v/>
      </c>
    </row>
    <row r="393" spans="4:4" x14ac:dyDescent="0.35">
      <c r="D393" t="str" cm="1">
        <f t="array" ref="D393">IFERROR(INDEX(Filter!$G:$G,_xlfn.AGGREGATE(15,6,Filter!$H:$H,ROW(A393))),"")</f>
        <v/>
      </c>
    </row>
    <row r="394" spans="4:4" x14ac:dyDescent="0.35">
      <c r="D394" t="str" cm="1">
        <f t="array" ref="D394">IFERROR(INDEX(Filter!$G:$G,_xlfn.AGGREGATE(15,6,Filter!$H:$H,ROW(A394))),"")</f>
        <v/>
      </c>
    </row>
    <row r="395" spans="4:4" x14ac:dyDescent="0.35">
      <c r="D395" t="str" cm="1">
        <f t="array" ref="D395">IFERROR(INDEX(Filter!$G:$G,_xlfn.AGGREGATE(15,6,Filter!$H:$H,ROW(A395))),"")</f>
        <v/>
      </c>
    </row>
    <row r="396" spans="4:4" x14ac:dyDescent="0.35">
      <c r="D396" t="str" cm="1">
        <f t="array" ref="D396">IFERROR(INDEX(Filter!$G:$G,_xlfn.AGGREGATE(15,6,Filter!$H:$H,ROW(A396))),"")</f>
        <v/>
      </c>
    </row>
    <row r="397" spans="4:4" x14ac:dyDescent="0.35">
      <c r="D397" t="str" cm="1">
        <f t="array" ref="D397">IFERROR(INDEX(Filter!$G:$G,_xlfn.AGGREGATE(15,6,Filter!$H:$H,ROW(A397))),"")</f>
        <v/>
      </c>
    </row>
    <row r="398" spans="4:4" x14ac:dyDescent="0.35">
      <c r="D398" t="str" cm="1">
        <f t="array" ref="D398">IFERROR(INDEX(Filter!$G:$G,_xlfn.AGGREGATE(15,6,Filter!$H:$H,ROW(A398))),"")</f>
        <v/>
      </c>
    </row>
    <row r="399" spans="4:4" x14ac:dyDescent="0.35">
      <c r="D399" t="str" cm="1">
        <f t="array" ref="D399">IFERROR(INDEX(Filter!$G:$G,_xlfn.AGGREGATE(15,6,Filter!$H:$H,ROW(A399))),"")</f>
        <v/>
      </c>
    </row>
    <row r="400" spans="4:4" x14ac:dyDescent="0.35">
      <c r="D400" t="str" cm="1">
        <f t="array" ref="D400">IFERROR(INDEX(Filter!$G:$G,_xlfn.AGGREGATE(15,6,Filter!$H:$H,ROW(A400))),"")</f>
        <v/>
      </c>
    </row>
    <row r="401" spans="4:4" x14ac:dyDescent="0.35">
      <c r="D401" t="str" cm="1">
        <f t="array" ref="D401">IFERROR(INDEX(Filter!$G:$G,_xlfn.AGGREGATE(15,6,Filter!$H:$H,ROW(A401))),"")</f>
        <v/>
      </c>
    </row>
    <row r="402" spans="4:4" x14ac:dyDescent="0.35">
      <c r="D402" t="str" cm="1">
        <f t="array" ref="D402">IFERROR(INDEX(Filter!$G:$G,_xlfn.AGGREGATE(15,6,Filter!$H:$H,ROW(A402))),"")</f>
        <v/>
      </c>
    </row>
    <row r="403" spans="4:4" x14ac:dyDescent="0.35">
      <c r="D403" t="str" cm="1">
        <f t="array" ref="D403">IFERROR(INDEX(Filter!$G:$G,_xlfn.AGGREGATE(15,6,Filter!$H:$H,ROW(A403))),"")</f>
        <v/>
      </c>
    </row>
    <row r="404" spans="4:4" x14ac:dyDescent="0.35">
      <c r="D404" t="str" cm="1">
        <f t="array" ref="D404">IFERROR(INDEX(Filter!$G:$G,_xlfn.AGGREGATE(15,6,Filter!$H:$H,ROW(A404))),"")</f>
        <v/>
      </c>
    </row>
    <row r="405" spans="4:4" x14ac:dyDescent="0.35">
      <c r="D405" t="str" cm="1">
        <f t="array" ref="D405">IFERROR(INDEX(Filter!$G:$G,_xlfn.AGGREGATE(15,6,Filter!$H:$H,ROW(A405))),"")</f>
        <v/>
      </c>
    </row>
    <row r="406" spans="4:4" x14ac:dyDescent="0.35">
      <c r="D406" t="str" cm="1">
        <f t="array" ref="D406">IFERROR(INDEX(Filter!$G:$G,_xlfn.AGGREGATE(15,6,Filter!$H:$H,ROW(A406))),"")</f>
        <v/>
      </c>
    </row>
    <row r="407" spans="4:4" x14ac:dyDescent="0.35">
      <c r="D407" t="str" cm="1">
        <f t="array" ref="D407">IFERROR(INDEX(Filter!$G:$G,_xlfn.AGGREGATE(15,6,Filter!$H:$H,ROW(A407))),"")</f>
        <v/>
      </c>
    </row>
    <row r="408" spans="4:4" x14ac:dyDescent="0.35">
      <c r="D408" t="str" cm="1">
        <f t="array" ref="D408">IFERROR(INDEX(Filter!$G:$G,_xlfn.AGGREGATE(15,6,Filter!$H:$H,ROW(A408))),"")</f>
        <v/>
      </c>
    </row>
    <row r="409" spans="4:4" x14ac:dyDescent="0.35">
      <c r="D409" t="str" cm="1">
        <f t="array" ref="D409">IFERROR(INDEX(Filter!$G:$G,_xlfn.AGGREGATE(15,6,Filter!$H:$H,ROW(A409))),"")</f>
        <v/>
      </c>
    </row>
    <row r="410" spans="4:4" x14ac:dyDescent="0.35">
      <c r="D410" t="str" cm="1">
        <f t="array" ref="D410">IFERROR(INDEX(Filter!$G:$G,_xlfn.AGGREGATE(15,6,Filter!$H:$H,ROW(A410))),"")</f>
        <v/>
      </c>
    </row>
    <row r="411" spans="4:4" x14ac:dyDescent="0.35">
      <c r="D411" t="str" cm="1">
        <f t="array" ref="D411">IFERROR(INDEX(Filter!$G:$G,_xlfn.AGGREGATE(15,6,Filter!$H:$H,ROW(A411))),"")</f>
        <v/>
      </c>
    </row>
    <row r="412" spans="4:4" x14ac:dyDescent="0.35">
      <c r="D412" t="str" cm="1">
        <f t="array" ref="D412">IFERROR(INDEX(Filter!$G:$G,_xlfn.AGGREGATE(15,6,Filter!$H:$H,ROW(A412))),"")</f>
        <v/>
      </c>
    </row>
    <row r="413" spans="4:4" x14ac:dyDescent="0.35">
      <c r="D413" t="str" cm="1">
        <f t="array" ref="D413">IFERROR(INDEX(Filter!$G:$G,_xlfn.AGGREGATE(15,6,Filter!$H:$H,ROW(A413))),"")</f>
        <v/>
      </c>
    </row>
    <row r="414" spans="4:4" x14ac:dyDescent="0.35">
      <c r="D414" t="str" cm="1">
        <f t="array" ref="D414">IFERROR(INDEX(Filter!$G:$G,_xlfn.AGGREGATE(15,6,Filter!$H:$H,ROW(A414))),"")</f>
        <v/>
      </c>
    </row>
    <row r="415" spans="4:4" x14ac:dyDescent="0.35">
      <c r="D415" t="str" cm="1">
        <f t="array" ref="D415">IFERROR(INDEX(Filter!$G:$G,_xlfn.AGGREGATE(15,6,Filter!$H:$H,ROW(A415))),"")</f>
        <v/>
      </c>
    </row>
    <row r="416" spans="4:4" x14ac:dyDescent="0.35">
      <c r="D416" t="str" cm="1">
        <f t="array" ref="D416">IFERROR(INDEX(Filter!$G:$G,_xlfn.AGGREGATE(15,6,Filter!$H:$H,ROW(A416))),"")</f>
        <v/>
      </c>
    </row>
    <row r="417" spans="4:4" x14ac:dyDescent="0.35">
      <c r="D417" t="str" cm="1">
        <f t="array" ref="D417">IFERROR(INDEX(Filter!$G:$G,_xlfn.AGGREGATE(15,6,Filter!$H:$H,ROW(A417))),"")</f>
        <v/>
      </c>
    </row>
    <row r="418" spans="4:4" x14ac:dyDescent="0.35">
      <c r="D418" t="str" cm="1">
        <f t="array" ref="D418">IFERROR(INDEX(Filter!$G:$G,_xlfn.AGGREGATE(15,6,Filter!$H:$H,ROW(A418))),"")</f>
        <v/>
      </c>
    </row>
    <row r="419" spans="4:4" x14ac:dyDescent="0.35">
      <c r="D419" t="str" cm="1">
        <f t="array" ref="D419">IFERROR(INDEX(Filter!$G:$G,_xlfn.AGGREGATE(15,6,Filter!$H:$H,ROW(A419))),"")</f>
        <v/>
      </c>
    </row>
    <row r="420" spans="4:4" x14ac:dyDescent="0.35">
      <c r="D420" t="str" cm="1">
        <f t="array" ref="D420">IFERROR(INDEX(Filter!$G:$G,_xlfn.AGGREGATE(15,6,Filter!$H:$H,ROW(A420))),"")</f>
        <v/>
      </c>
    </row>
    <row r="421" spans="4:4" x14ac:dyDescent="0.35">
      <c r="D421" t="str" cm="1">
        <f t="array" ref="D421">IFERROR(INDEX(Filter!$G:$G,_xlfn.AGGREGATE(15,6,Filter!$H:$H,ROW(A421))),"")</f>
        <v/>
      </c>
    </row>
    <row r="422" spans="4:4" x14ac:dyDescent="0.35">
      <c r="D422" t="str" cm="1">
        <f t="array" ref="D422">IFERROR(INDEX(Filter!$G:$G,_xlfn.AGGREGATE(15,6,Filter!$H:$H,ROW(A422))),"")</f>
        <v/>
      </c>
    </row>
    <row r="423" spans="4:4" x14ac:dyDescent="0.35">
      <c r="D423" t="str" cm="1">
        <f t="array" ref="D423">IFERROR(INDEX(Filter!$G:$G,_xlfn.AGGREGATE(15,6,Filter!$H:$H,ROW(A423))),"")</f>
        <v/>
      </c>
    </row>
    <row r="424" spans="4:4" x14ac:dyDescent="0.35">
      <c r="D424" t="str" cm="1">
        <f t="array" ref="D424">IFERROR(INDEX(Filter!$G:$G,_xlfn.AGGREGATE(15,6,Filter!$H:$H,ROW(A424))),"")</f>
        <v/>
      </c>
    </row>
    <row r="425" spans="4:4" x14ac:dyDescent="0.35">
      <c r="D425" t="str" cm="1">
        <f t="array" ref="D425">IFERROR(INDEX(Filter!$G:$G,_xlfn.AGGREGATE(15,6,Filter!$H:$H,ROW(A425))),"")</f>
        <v/>
      </c>
    </row>
    <row r="426" spans="4:4" x14ac:dyDescent="0.35">
      <c r="D426" t="str" cm="1">
        <f t="array" ref="D426">IFERROR(INDEX(Filter!$G:$G,_xlfn.AGGREGATE(15,6,Filter!$H:$H,ROW(A426))),"")</f>
        <v/>
      </c>
    </row>
    <row r="427" spans="4:4" x14ac:dyDescent="0.35">
      <c r="D427" t="str" cm="1">
        <f t="array" ref="D427">IFERROR(INDEX(Filter!$G:$G,_xlfn.AGGREGATE(15,6,Filter!$H:$H,ROW(A427))),"")</f>
        <v/>
      </c>
    </row>
    <row r="428" spans="4:4" x14ac:dyDescent="0.35">
      <c r="D428" t="str" cm="1">
        <f t="array" ref="D428">IFERROR(INDEX(Filter!$G:$G,_xlfn.AGGREGATE(15,6,Filter!$H:$H,ROW(A428))),"")</f>
        <v/>
      </c>
    </row>
    <row r="429" spans="4:4" x14ac:dyDescent="0.35">
      <c r="D429" t="str" cm="1">
        <f t="array" ref="D429">IFERROR(INDEX(Filter!$G:$G,_xlfn.AGGREGATE(15,6,Filter!$H:$H,ROW(A429))),"")</f>
        <v/>
      </c>
    </row>
    <row r="430" spans="4:4" x14ac:dyDescent="0.35">
      <c r="D430" t="str" cm="1">
        <f t="array" ref="D430">IFERROR(INDEX(Filter!$G:$G,_xlfn.AGGREGATE(15,6,Filter!$H:$H,ROW(A430))),"")</f>
        <v/>
      </c>
    </row>
    <row r="431" spans="4:4" x14ac:dyDescent="0.35">
      <c r="D431" t="str" cm="1">
        <f t="array" ref="D431">IFERROR(INDEX(Filter!$G:$G,_xlfn.AGGREGATE(15,6,Filter!$H:$H,ROW(A431))),"")</f>
        <v/>
      </c>
    </row>
    <row r="432" spans="4:4" x14ac:dyDescent="0.35">
      <c r="D432" t="str" cm="1">
        <f t="array" ref="D432">IFERROR(INDEX(Filter!$G:$G,_xlfn.AGGREGATE(15,6,Filter!$H:$H,ROW(A432))),"")</f>
        <v/>
      </c>
    </row>
    <row r="433" spans="4:4" x14ac:dyDescent="0.35">
      <c r="D433" t="str" cm="1">
        <f t="array" ref="D433">IFERROR(INDEX(Filter!$G:$G,_xlfn.AGGREGATE(15,6,Filter!$H:$H,ROW(A433))),"")</f>
        <v/>
      </c>
    </row>
    <row r="434" spans="4:4" x14ac:dyDescent="0.35">
      <c r="D434" t="str" cm="1">
        <f t="array" ref="D434">IFERROR(INDEX(Filter!$G:$G,_xlfn.AGGREGATE(15,6,Filter!$H:$H,ROW(A434))),"")</f>
        <v/>
      </c>
    </row>
    <row r="435" spans="4:4" x14ac:dyDescent="0.35">
      <c r="D435" t="str" cm="1">
        <f t="array" ref="D435">IFERROR(INDEX(Filter!$G:$G,_xlfn.AGGREGATE(15,6,Filter!$H:$H,ROW(A435))),"")</f>
        <v/>
      </c>
    </row>
    <row r="436" spans="4:4" x14ac:dyDescent="0.35">
      <c r="D436" t="str" cm="1">
        <f t="array" ref="D436">IFERROR(INDEX(Filter!$G:$G,_xlfn.AGGREGATE(15,6,Filter!$H:$H,ROW(A436))),"")</f>
        <v/>
      </c>
    </row>
    <row r="437" spans="4:4" x14ac:dyDescent="0.35">
      <c r="D437" t="str" cm="1">
        <f t="array" ref="D437">IFERROR(INDEX(Filter!$G:$G,_xlfn.AGGREGATE(15,6,Filter!$H:$H,ROW(A437))),"")</f>
        <v/>
      </c>
    </row>
    <row r="438" spans="4:4" x14ac:dyDescent="0.35">
      <c r="D438" t="str" cm="1">
        <f t="array" ref="D438">IFERROR(INDEX(Filter!$G:$G,_xlfn.AGGREGATE(15,6,Filter!$H:$H,ROW(A438))),"")</f>
        <v/>
      </c>
    </row>
    <row r="439" spans="4:4" x14ac:dyDescent="0.35">
      <c r="D439" t="str" cm="1">
        <f t="array" ref="D439">IFERROR(INDEX(Filter!$G:$G,_xlfn.AGGREGATE(15,6,Filter!$H:$H,ROW(A439))),"")</f>
        <v/>
      </c>
    </row>
    <row r="440" spans="4:4" x14ac:dyDescent="0.35">
      <c r="D440" t="str" cm="1">
        <f t="array" ref="D440">IFERROR(INDEX(Filter!$G:$G,_xlfn.AGGREGATE(15,6,Filter!$H:$H,ROW(A440))),"")</f>
        <v/>
      </c>
    </row>
    <row r="441" spans="4:4" x14ac:dyDescent="0.35">
      <c r="D441" t="str" cm="1">
        <f t="array" ref="D441">IFERROR(INDEX(Filter!$G:$G,_xlfn.AGGREGATE(15,6,Filter!$H:$H,ROW(A441))),"")</f>
        <v/>
      </c>
    </row>
    <row r="442" spans="4:4" x14ac:dyDescent="0.35">
      <c r="D442" t="str" cm="1">
        <f t="array" ref="D442">IFERROR(INDEX(Filter!$G:$G,_xlfn.AGGREGATE(15,6,Filter!$H:$H,ROW(A442))),"")</f>
        <v/>
      </c>
    </row>
    <row r="443" spans="4:4" x14ac:dyDescent="0.35">
      <c r="D443" t="str" cm="1">
        <f t="array" ref="D443">IFERROR(INDEX(Filter!$G:$G,_xlfn.AGGREGATE(15,6,Filter!$H:$H,ROW(A443))),"")</f>
        <v/>
      </c>
    </row>
    <row r="444" spans="4:4" x14ac:dyDescent="0.35">
      <c r="D444" t="str" cm="1">
        <f t="array" ref="D444">IFERROR(INDEX(Filter!$G:$G,_xlfn.AGGREGATE(15,6,Filter!$H:$H,ROW(A444))),"")</f>
        <v/>
      </c>
    </row>
    <row r="445" spans="4:4" x14ac:dyDescent="0.35">
      <c r="D445" t="str" cm="1">
        <f t="array" ref="D445">IFERROR(INDEX(Filter!$G:$G,_xlfn.AGGREGATE(15,6,Filter!$H:$H,ROW(A445))),"")</f>
        <v/>
      </c>
    </row>
    <row r="446" spans="4:4" x14ac:dyDescent="0.35">
      <c r="D446" t="str" cm="1">
        <f t="array" ref="D446">IFERROR(INDEX(Filter!$G:$G,_xlfn.AGGREGATE(15,6,Filter!$H:$H,ROW(A446))),"")</f>
        <v/>
      </c>
    </row>
    <row r="447" spans="4:4" x14ac:dyDescent="0.35">
      <c r="D447" t="str" cm="1">
        <f t="array" ref="D447">IFERROR(INDEX(Filter!$G:$G,_xlfn.AGGREGATE(15,6,Filter!$H:$H,ROW(A447))),"")</f>
        <v/>
      </c>
    </row>
    <row r="448" spans="4:4" x14ac:dyDescent="0.35">
      <c r="D448" t="str" cm="1">
        <f t="array" ref="D448">IFERROR(INDEX(Filter!$G:$G,_xlfn.AGGREGATE(15,6,Filter!$H:$H,ROW(A448))),"")</f>
        <v/>
      </c>
    </row>
    <row r="449" spans="4:4" x14ac:dyDescent="0.35">
      <c r="D449" t="str" cm="1">
        <f t="array" ref="D449">IFERROR(INDEX(Filter!$G:$G,_xlfn.AGGREGATE(15,6,Filter!$H:$H,ROW(A449))),"")</f>
        <v/>
      </c>
    </row>
    <row r="450" spans="4:4" x14ac:dyDescent="0.35">
      <c r="D450" t="str" cm="1">
        <f t="array" ref="D450">IFERROR(INDEX(Filter!$G:$G,_xlfn.AGGREGATE(15,6,Filter!$H:$H,ROW(A450))),"")</f>
        <v/>
      </c>
    </row>
    <row r="451" spans="4:4" x14ac:dyDescent="0.35">
      <c r="D451" t="str" cm="1">
        <f t="array" ref="D451">IFERROR(INDEX(Filter!$G:$G,_xlfn.AGGREGATE(15,6,Filter!$H:$H,ROW(A451))),"")</f>
        <v/>
      </c>
    </row>
    <row r="452" spans="4:4" x14ac:dyDescent="0.35">
      <c r="D452" t="str" cm="1">
        <f t="array" ref="D452">IFERROR(INDEX(Filter!$G:$G,_xlfn.AGGREGATE(15,6,Filter!$H:$H,ROW(A452))),"")</f>
        <v/>
      </c>
    </row>
    <row r="453" spans="4:4" x14ac:dyDescent="0.35">
      <c r="D453" t="str" cm="1">
        <f t="array" ref="D453">IFERROR(INDEX(Filter!$G:$G,_xlfn.AGGREGATE(15,6,Filter!$H:$H,ROW(A453))),"")</f>
        <v/>
      </c>
    </row>
    <row r="454" spans="4:4" x14ac:dyDescent="0.35">
      <c r="D454" t="str" cm="1">
        <f t="array" ref="D454">IFERROR(INDEX(Filter!$G:$G,_xlfn.AGGREGATE(15,6,Filter!$H:$H,ROW(A454))),"")</f>
        <v/>
      </c>
    </row>
    <row r="455" spans="4:4" x14ac:dyDescent="0.35">
      <c r="D455" t="str" cm="1">
        <f t="array" ref="D455">IFERROR(INDEX(Filter!$G:$G,_xlfn.AGGREGATE(15,6,Filter!$H:$H,ROW(A455))),"")</f>
        <v/>
      </c>
    </row>
    <row r="456" spans="4:4" x14ac:dyDescent="0.35">
      <c r="D456" t="str" cm="1">
        <f t="array" ref="D456">IFERROR(INDEX(Filter!$G:$G,_xlfn.AGGREGATE(15,6,Filter!$H:$H,ROW(A456))),"")</f>
        <v/>
      </c>
    </row>
    <row r="457" spans="4:4" x14ac:dyDescent="0.35">
      <c r="D457" t="str" cm="1">
        <f t="array" ref="D457">IFERROR(INDEX(Filter!$G:$G,_xlfn.AGGREGATE(15,6,Filter!$H:$H,ROW(A457))),"")</f>
        <v/>
      </c>
    </row>
    <row r="458" spans="4:4" x14ac:dyDescent="0.35">
      <c r="D458" t="str" cm="1">
        <f t="array" ref="D458">IFERROR(INDEX(Filter!$G:$G,_xlfn.AGGREGATE(15,6,Filter!$H:$H,ROW(A458))),"")</f>
        <v/>
      </c>
    </row>
    <row r="459" spans="4:4" x14ac:dyDescent="0.35">
      <c r="D459" t="str" cm="1">
        <f t="array" ref="D459">IFERROR(INDEX(Filter!$G:$G,_xlfn.AGGREGATE(15,6,Filter!$H:$H,ROW(A459))),"")</f>
        <v/>
      </c>
    </row>
    <row r="460" spans="4:4" x14ac:dyDescent="0.35">
      <c r="D460" t="str" cm="1">
        <f t="array" ref="D460">IFERROR(INDEX(Filter!$G:$G,_xlfn.AGGREGATE(15,6,Filter!$H:$H,ROW(A460))),"")</f>
        <v/>
      </c>
    </row>
    <row r="461" spans="4:4" x14ac:dyDescent="0.35">
      <c r="D461" t="str" cm="1">
        <f t="array" ref="D461">IFERROR(INDEX(Filter!$G:$G,_xlfn.AGGREGATE(15,6,Filter!$H:$H,ROW(A461))),"")</f>
        <v/>
      </c>
    </row>
    <row r="462" spans="4:4" x14ac:dyDescent="0.35">
      <c r="D462" t="str" cm="1">
        <f t="array" ref="D462">IFERROR(INDEX(Filter!$G:$G,_xlfn.AGGREGATE(15,6,Filter!$H:$H,ROW(A462))),"")</f>
        <v/>
      </c>
    </row>
    <row r="463" spans="4:4" x14ac:dyDescent="0.35">
      <c r="D463" t="str" cm="1">
        <f t="array" ref="D463">IFERROR(INDEX(Filter!$G:$G,_xlfn.AGGREGATE(15,6,Filter!$H:$H,ROW(A463))),"")</f>
        <v/>
      </c>
    </row>
    <row r="464" spans="4:4" x14ac:dyDescent="0.35">
      <c r="D464" t="str" cm="1">
        <f t="array" ref="D464">IFERROR(INDEX(Filter!$G:$G,_xlfn.AGGREGATE(15,6,Filter!$H:$H,ROW(A464))),"")</f>
        <v/>
      </c>
    </row>
    <row r="465" spans="4:4" x14ac:dyDescent="0.35">
      <c r="D465" t="str" cm="1">
        <f t="array" ref="D465">IFERROR(INDEX(Filter!$G:$G,_xlfn.AGGREGATE(15,6,Filter!$H:$H,ROW(A465))),"")</f>
        <v/>
      </c>
    </row>
    <row r="466" spans="4:4" x14ac:dyDescent="0.35">
      <c r="D466" t="str" cm="1">
        <f t="array" ref="D466">IFERROR(INDEX(Filter!$G:$G,_xlfn.AGGREGATE(15,6,Filter!$H:$H,ROW(A466))),"")</f>
        <v/>
      </c>
    </row>
    <row r="467" spans="4:4" x14ac:dyDescent="0.35">
      <c r="D467" t="str" cm="1">
        <f t="array" ref="D467">IFERROR(INDEX(Filter!$G:$G,_xlfn.AGGREGATE(15,6,Filter!$H:$H,ROW(A467))),"")</f>
        <v/>
      </c>
    </row>
    <row r="468" spans="4:4" x14ac:dyDescent="0.35">
      <c r="D468" t="str" cm="1">
        <f t="array" ref="D468">IFERROR(INDEX(Filter!$G:$G,_xlfn.AGGREGATE(15,6,Filter!$H:$H,ROW(A468))),"")</f>
        <v/>
      </c>
    </row>
    <row r="469" spans="4:4" x14ac:dyDescent="0.35">
      <c r="D469" t="str" cm="1">
        <f t="array" ref="D469">IFERROR(INDEX(Filter!$G:$G,_xlfn.AGGREGATE(15,6,Filter!$H:$H,ROW(A469))),"")</f>
        <v/>
      </c>
    </row>
    <row r="470" spans="4:4" x14ac:dyDescent="0.35">
      <c r="D470" t="str" cm="1">
        <f t="array" ref="D470">IFERROR(INDEX(Filter!$G:$G,_xlfn.AGGREGATE(15,6,Filter!$H:$H,ROW(A470))),"")</f>
        <v/>
      </c>
    </row>
    <row r="471" spans="4:4" x14ac:dyDescent="0.35">
      <c r="D471" t="str" cm="1">
        <f t="array" ref="D471">IFERROR(INDEX(Filter!$G:$G,_xlfn.AGGREGATE(15,6,Filter!$H:$H,ROW(A471))),"")</f>
        <v/>
      </c>
    </row>
    <row r="472" spans="4:4" x14ac:dyDescent="0.35">
      <c r="D472" t="str" cm="1">
        <f t="array" ref="D472">IFERROR(INDEX(Filter!$G:$G,_xlfn.AGGREGATE(15,6,Filter!$H:$H,ROW(A472))),"")</f>
        <v/>
      </c>
    </row>
    <row r="473" spans="4:4" x14ac:dyDescent="0.35">
      <c r="D473" t="str" cm="1">
        <f t="array" ref="D473">IFERROR(INDEX(Filter!$G:$G,_xlfn.AGGREGATE(15,6,Filter!$H:$H,ROW(A473))),"")</f>
        <v/>
      </c>
    </row>
    <row r="474" spans="4:4" x14ac:dyDescent="0.35">
      <c r="D474" t="str" cm="1">
        <f t="array" ref="D474">IFERROR(INDEX(Filter!$G:$G,_xlfn.AGGREGATE(15,6,Filter!$H:$H,ROW(A474))),"")</f>
        <v/>
      </c>
    </row>
    <row r="475" spans="4:4" x14ac:dyDescent="0.35">
      <c r="D475" t="str" cm="1">
        <f t="array" ref="D475">IFERROR(INDEX(Filter!$G:$G,_xlfn.AGGREGATE(15,6,Filter!$H:$H,ROW(A475))),"")</f>
        <v/>
      </c>
    </row>
    <row r="476" spans="4:4" x14ac:dyDescent="0.35">
      <c r="D476" t="str" cm="1">
        <f t="array" ref="D476">IFERROR(INDEX(Filter!$G:$G,_xlfn.AGGREGATE(15,6,Filter!$H:$H,ROW(A476))),"")</f>
        <v/>
      </c>
    </row>
    <row r="477" spans="4:4" x14ac:dyDescent="0.35">
      <c r="D477" t="str" cm="1">
        <f t="array" ref="D477">IFERROR(INDEX(Filter!$G:$G,_xlfn.AGGREGATE(15,6,Filter!$H:$H,ROW(A477))),"")</f>
        <v/>
      </c>
    </row>
    <row r="478" spans="4:4" x14ac:dyDescent="0.35">
      <c r="D478" t="str" cm="1">
        <f t="array" ref="D478">IFERROR(INDEX(Filter!$G:$G,_xlfn.AGGREGATE(15,6,Filter!$H:$H,ROW(A478))),"")</f>
        <v/>
      </c>
    </row>
    <row r="479" spans="4:4" x14ac:dyDescent="0.35">
      <c r="D479" t="str" cm="1">
        <f t="array" ref="D479">IFERROR(INDEX(Filter!$G:$G,_xlfn.AGGREGATE(15,6,Filter!$H:$H,ROW(A479))),"")</f>
        <v/>
      </c>
    </row>
    <row r="480" spans="4:4" x14ac:dyDescent="0.35">
      <c r="D480" t="str" cm="1">
        <f t="array" ref="D480">IFERROR(INDEX(Filter!$G:$G,_xlfn.AGGREGATE(15,6,Filter!$H:$H,ROW(A480))),"")</f>
        <v/>
      </c>
    </row>
    <row r="481" spans="4:4" x14ac:dyDescent="0.35">
      <c r="D481" t="str" cm="1">
        <f t="array" ref="D481">IFERROR(INDEX(Filter!$G:$G,_xlfn.AGGREGATE(15,6,Filter!$H:$H,ROW(A481))),"")</f>
        <v/>
      </c>
    </row>
    <row r="482" spans="4:4" x14ac:dyDescent="0.35">
      <c r="D482" t="str" cm="1">
        <f t="array" ref="D482">IFERROR(INDEX(Filter!$G:$G,_xlfn.AGGREGATE(15,6,Filter!$H:$H,ROW(A482))),"")</f>
        <v/>
      </c>
    </row>
    <row r="483" spans="4:4" x14ac:dyDescent="0.35">
      <c r="D483" t="str" cm="1">
        <f t="array" ref="D483">IFERROR(INDEX(Filter!$G:$G,_xlfn.AGGREGATE(15,6,Filter!$H:$H,ROW(A483))),"")</f>
        <v/>
      </c>
    </row>
    <row r="484" spans="4:4" x14ac:dyDescent="0.35">
      <c r="D484" t="str" cm="1">
        <f t="array" ref="D484">IFERROR(INDEX(Filter!$G:$G,_xlfn.AGGREGATE(15,6,Filter!$H:$H,ROW(A484))),"")</f>
        <v/>
      </c>
    </row>
    <row r="485" spans="4:4" x14ac:dyDescent="0.35">
      <c r="D485" t="str" cm="1">
        <f t="array" ref="D485">IFERROR(INDEX(Filter!$G:$G,_xlfn.AGGREGATE(15,6,Filter!$H:$H,ROW(A485))),"")</f>
        <v/>
      </c>
    </row>
    <row r="486" spans="4:4" x14ac:dyDescent="0.35">
      <c r="D486" t="str" cm="1">
        <f t="array" ref="D486">IFERROR(INDEX(Filter!$G:$G,_xlfn.AGGREGATE(15,6,Filter!$H:$H,ROW(A486))),"")</f>
        <v/>
      </c>
    </row>
    <row r="487" spans="4:4" x14ac:dyDescent="0.35">
      <c r="D487" t="str" cm="1">
        <f t="array" ref="D487">IFERROR(INDEX(Filter!$G:$G,_xlfn.AGGREGATE(15,6,Filter!$H:$H,ROW(A487))),"")</f>
        <v/>
      </c>
    </row>
    <row r="488" spans="4:4" x14ac:dyDescent="0.35">
      <c r="D488" t="str" cm="1">
        <f t="array" ref="D488">IFERROR(INDEX(Filter!$G:$G,_xlfn.AGGREGATE(15,6,Filter!$H:$H,ROW(A488))),"")</f>
        <v/>
      </c>
    </row>
    <row r="489" spans="4:4" x14ac:dyDescent="0.35">
      <c r="D489" t="str" cm="1">
        <f t="array" ref="D489">IFERROR(INDEX(Filter!$G:$G,_xlfn.AGGREGATE(15,6,Filter!$H:$H,ROW(A489))),"")</f>
        <v/>
      </c>
    </row>
    <row r="490" spans="4:4" x14ac:dyDescent="0.35">
      <c r="D490" t="str" cm="1">
        <f t="array" ref="D490">IFERROR(INDEX(Filter!$G:$G,_xlfn.AGGREGATE(15,6,Filter!$H:$H,ROW(A490))),"")</f>
        <v/>
      </c>
    </row>
    <row r="491" spans="4:4" x14ac:dyDescent="0.35">
      <c r="D491" t="str" cm="1">
        <f t="array" ref="D491">IFERROR(INDEX(Filter!$G:$G,_xlfn.AGGREGATE(15,6,Filter!$H:$H,ROW(A491))),"")</f>
        <v/>
      </c>
    </row>
    <row r="492" spans="4:4" x14ac:dyDescent="0.35">
      <c r="D492" t="str" cm="1">
        <f t="array" ref="D492">IFERROR(INDEX(Filter!$G:$G,_xlfn.AGGREGATE(15,6,Filter!$H:$H,ROW(A492))),"")</f>
        <v/>
      </c>
    </row>
    <row r="493" spans="4:4" x14ac:dyDescent="0.35">
      <c r="D493" t="str" cm="1">
        <f t="array" ref="D493">IFERROR(INDEX(Filter!$G:$G,_xlfn.AGGREGATE(15,6,Filter!$H:$H,ROW(A493))),"")</f>
        <v/>
      </c>
    </row>
    <row r="494" spans="4:4" x14ac:dyDescent="0.35">
      <c r="D494" t="str" cm="1">
        <f t="array" ref="D494">IFERROR(INDEX(Filter!$G:$G,_xlfn.AGGREGATE(15,6,Filter!$H:$H,ROW(A494))),"")</f>
        <v/>
      </c>
    </row>
    <row r="495" spans="4:4" x14ac:dyDescent="0.35">
      <c r="D495" t="str" cm="1">
        <f t="array" ref="D495">IFERROR(INDEX(Filter!$G:$G,_xlfn.AGGREGATE(15,6,Filter!$H:$H,ROW(A495))),"")</f>
        <v/>
      </c>
    </row>
    <row r="496" spans="4:4" x14ac:dyDescent="0.35">
      <c r="D496" t="str" cm="1">
        <f t="array" ref="D496">IFERROR(INDEX(Filter!$G:$G,_xlfn.AGGREGATE(15,6,Filter!$H:$H,ROW(A496))),"")</f>
        <v/>
      </c>
    </row>
    <row r="497" spans="4:4" x14ac:dyDescent="0.35">
      <c r="D497" t="str" cm="1">
        <f t="array" ref="D497">IFERROR(INDEX(Filter!$G:$G,_xlfn.AGGREGATE(15,6,Filter!$H:$H,ROW(A497))),"")</f>
        <v/>
      </c>
    </row>
    <row r="498" spans="4:4" x14ac:dyDescent="0.35">
      <c r="D498" t="str" cm="1">
        <f t="array" ref="D498">IFERROR(INDEX(Filter!$G:$G,_xlfn.AGGREGATE(15,6,Filter!$H:$H,ROW(A498))),"")</f>
        <v/>
      </c>
    </row>
    <row r="499" spans="4:4" x14ac:dyDescent="0.35">
      <c r="D499" t="str" cm="1">
        <f t="array" ref="D499">IFERROR(INDEX(Filter!$G:$G,_xlfn.AGGREGATE(15,6,Filter!$H:$H,ROW(A499))),"")</f>
        <v/>
      </c>
    </row>
    <row r="500" spans="4:4" x14ac:dyDescent="0.35">
      <c r="D500" t="str" cm="1">
        <f t="array" ref="D500">IFERROR(INDEX(Filter!$G:$G,_xlfn.AGGREGATE(15,6,Filter!$H:$H,ROW(A500))),"")</f>
        <v/>
      </c>
    </row>
    <row r="501" spans="4:4" x14ac:dyDescent="0.35">
      <c r="D501" t="str" cm="1">
        <f t="array" ref="D501">IFERROR(INDEX(Filter!$G:$G,_xlfn.AGGREGATE(15,6,Filter!$H:$H,ROW(A501))),"")</f>
        <v/>
      </c>
    </row>
    <row r="502" spans="4:4" x14ac:dyDescent="0.35">
      <c r="D502" t="str" cm="1">
        <f t="array" ref="D502">IFERROR(INDEX(Filter!$G:$G,_xlfn.AGGREGATE(15,6,Filter!$H:$H,ROW(A502))),"")</f>
        <v/>
      </c>
    </row>
    <row r="503" spans="4:4" x14ac:dyDescent="0.35">
      <c r="D503" t="str" cm="1">
        <f t="array" ref="D503">IFERROR(INDEX(Filter!$G:$G,_xlfn.AGGREGATE(15,6,Filter!$H:$H,ROW(A503))),"")</f>
        <v/>
      </c>
    </row>
    <row r="504" spans="4:4" x14ac:dyDescent="0.35">
      <c r="D504" t="str" cm="1">
        <f t="array" ref="D504">IFERROR(INDEX(Filter!$G:$G,_xlfn.AGGREGATE(15,6,Filter!$H:$H,ROW(A504))),"")</f>
        <v/>
      </c>
    </row>
    <row r="505" spans="4:4" x14ac:dyDescent="0.35">
      <c r="D505" t="str" cm="1">
        <f t="array" ref="D505">IFERROR(INDEX(Filter!$G:$G,_xlfn.AGGREGATE(15,6,Filter!$H:$H,ROW(A505))),"")</f>
        <v/>
      </c>
    </row>
    <row r="506" spans="4:4" x14ac:dyDescent="0.35">
      <c r="D506" t="str" cm="1">
        <f t="array" ref="D506">IFERROR(INDEX(Filter!$G:$G,_xlfn.AGGREGATE(15,6,Filter!$H:$H,ROW(A506))),"")</f>
        <v/>
      </c>
    </row>
    <row r="507" spans="4:4" x14ac:dyDescent="0.35">
      <c r="D507" t="str" cm="1">
        <f t="array" ref="D507">IFERROR(INDEX(Filter!$G:$G,_xlfn.AGGREGATE(15,6,Filter!$H:$H,ROW(A507))),"")</f>
        <v/>
      </c>
    </row>
    <row r="508" spans="4:4" x14ac:dyDescent="0.35">
      <c r="D508" t="str" cm="1">
        <f t="array" ref="D508">IFERROR(INDEX(Filter!$G:$G,_xlfn.AGGREGATE(15,6,Filter!$H:$H,ROW(A508))),"")</f>
        <v/>
      </c>
    </row>
    <row r="509" spans="4:4" x14ac:dyDescent="0.35">
      <c r="D509" t="str" cm="1">
        <f t="array" ref="D509">IFERROR(INDEX(Filter!$G:$G,_xlfn.AGGREGATE(15,6,Filter!$H:$H,ROW(A509))),"")</f>
        <v/>
      </c>
    </row>
    <row r="510" spans="4:4" x14ac:dyDescent="0.35">
      <c r="D510" t="str" cm="1">
        <f t="array" ref="D510">IFERROR(INDEX(Filter!$G:$G,_xlfn.AGGREGATE(15,6,Filter!$H:$H,ROW(A510))),"")</f>
        <v/>
      </c>
    </row>
    <row r="511" spans="4:4" x14ac:dyDescent="0.35">
      <c r="D511" t="str" cm="1">
        <f t="array" ref="D511">IFERROR(INDEX(Filter!$G:$G,_xlfn.AGGREGATE(15,6,Filter!$H:$H,ROW(A511))),"")</f>
        <v/>
      </c>
    </row>
    <row r="512" spans="4:4" x14ac:dyDescent="0.35">
      <c r="D512" t="str" cm="1">
        <f t="array" ref="D512">IFERROR(INDEX(Filter!$G:$G,_xlfn.AGGREGATE(15,6,Filter!$H:$H,ROW(A512))),"")</f>
        <v/>
      </c>
    </row>
    <row r="513" spans="4:4" x14ac:dyDescent="0.35">
      <c r="D513" t="str" cm="1">
        <f t="array" ref="D513">IFERROR(INDEX(Filter!$G:$G,_xlfn.AGGREGATE(15,6,Filter!$H:$H,ROW(A513))),"")</f>
        <v/>
      </c>
    </row>
    <row r="514" spans="4:4" x14ac:dyDescent="0.35">
      <c r="D514" t="str" cm="1">
        <f t="array" ref="D514">IFERROR(INDEX(Filter!$G:$G,_xlfn.AGGREGATE(15,6,Filter!$H:$H,ROW(A514))),"")</f>
        <v/>
      </c>
    </row>
    <row r="515" spans="4:4" x14ac:dyDescent="0.35">
      <c r="D515" t="str" cm="1">
        <f t="array" ref="D515">IFERROR(INDEX(Filter!$G:$G,_xlfn.AGGREGATE(15,6,Filter!$H:$H,ROW(A515))),"")</f>
        <v/>
      </c>
    </row>
    <row r="516" spans="4:4" x14ac:dyDescent="0.35">
      <c r="D516" t="str" cm="1">
        <f t="array" ref="D516">IFERROR(INDEX(Filter!$G:$G,_xlfn.AGGREGATE(15,6,Filter!$H:$H,ROW(A516))),"")</f>
        <v/>
      </c>
    </row>
    <row r="517" spans="4:4" x14ac:dyDescent="0.35">
      <c r="D517" t="str" cm="1">
        <f t="array" ref="D517">IFERROR(INDEX(Filter!$G:$G,_xlfn.AGGREGATE(15,6,Filter!$H:$H,ROW(A517))),"")</f>
        <v/>
      </c>
    </row>
    <row r="518" spans="4:4" x14ac:dyDescent="0.35">
      <c r="D518" t="str" cm="1">
        <f t="array" ref="D518">IFERROR(INDEX(Filter!$G:$G,_xlfn.AGGREGATE(15,6,Filter!$H:$H,ROW(A518))),"")</f>
        <v/>
      </c>
    </row>
    <row r="519" spans="4:4" x14ac:dyDescent="0.35">
      <c r="D519" t="str" cm="1">
        <f t="array" ref="D519">IFERROR(INDEX(Filter!$G:$G,_xlfn.AGGREGATE(15,6,Filter!$H:$H,ROW(A519))),"")</f>
        <v/>
      </c>
    </row>
    <row r="520" spans="4:4" x14ac:dyDescent="0.35">
      <c r="D520" t="str" cm="1">
        <f t="array" ref="D520">IFERROR(INDEX(Filter!$G:$G,_xlfn.AGGREGATE(15,6,Filter!$H:$H,ROW(A520))),"")</f>
        <v/>
      </c>
    </row>
    <row r="521" spans="4:4" x14ac:dyDescent="0.35">
      <c r="D521" t="str" cm="1">
        <f t="array" ref="D521">IFERROR(INDEX(Filter!$G:$G,_xlfn.AGGREGATE(15,6,Filter!$H:$H,ROW(A521))),"")</f>
        <v/>
      </c>
    </row>
    <row r="522" spans="4:4" x14ac:dyDescent="0.35">
      <c r="D522" t="str" cm="1">
        <f t="array" ref="D522">IFERROR(INDEX(Filter!$G:$G,_xlfn.AGGREGATE(15,6,Filter!$H:$H,ROW(A522))),"")</f>
        <v/>
      </c>
    </row>
    <row r="523" spans="4:4" x14ac:dyDescent="0.35">
      <c r="D523" t="str" cm="1">
        <f t="array" ref="D523">IFERROR(INDEX(Filter!$G:$G,_xlfn.AGGREGATE(15,6,Filter!$H:$H,ROW(A523))),"")</f>
        <v/>
      </c>
    </row>
    <row r="524" spans="4:4" x14ac:dyDescent="0.35">
      <c r="D524" t="str" cm="1">
        <f t="array" ref="D524">IFERROR(INDEX(Filter!$G:$G,_xlfn.AGGREGATE(15,6,Filter!$H:$H,ROW(A524))),"")</f>
        <v/>
      </c>
    </row>
    <row r="525" spans="4:4" x14ac:dyDescent="0.35">
      <c r="D525" t="str" cm="1">
        <f t="array" ref="D525">IFERROR(INDEX(Filter!$G:$G,_xlfn.AGGREGATE(15,6,Filter!$H:$H,ROW(A525))),"")</f>
        <v/>
      </c>
    </row>
    <row r="526" spans="4:4" x14ac:dyDescent="0.35">
      <c r="D526" t="str" cm="1">
        <f t="array" ref="D526">IFERROR(INDEX(Filter!$G:$G,_xlfn.AGGREGATE(15,6,Filter!$H:$H,ROW(A526))),"")</f>
        <v/>
      </c>
    </row>
    <row r="527" spans="4:4" x14ac:dyDescent="0.35">
      <c r="D527" t="str" cm="1">
        <f t="array" ref="D527">IFERROR(INDEX(Filter!$G:$G,_xlfn.AGGREGATE(15,6,Filter!$H:$H,ROW(A527))),"")</f>
        <v/>
      </c>
    </row>
    <row r="528" spans="4:4" x14ac:dyDescent="0.35">
      <c r="D528" t="str" cm="1">
        <f t="array" ref="D528">IFERROR(INDEX(Filter!$G:$G,_xlfn.AGGREGATE(15,6,Filter!$H:$H,ROW(A528))),"")</f>
        <v/>
      </c>
    </row>
    <row r="529" spans="4:4" x14ac:dyDescent="0.35">
      <c r="D529" t="str" cm="1">
        <f t="array" ref="D529">IFERROR(INDEX(Filter!$G:$G,_xlfn.AGGREGATE(15,6,Filter!$H:$H,ROW(A529))),"")</f>
        <v/>
      </c>
    </row>
    <row r="530" spans="4:4" x14ac:dyDescent="0.35">
      <c r="D530" t="str" cm="1">
        <f t="array" ref="D530">IFERROR(INDEX(Filter!$G:$G,_xlfn.AGGREGATE(15,6,Filter!$H:$H,ROW(A530))),"")</f>
        <v/>
      </c>
    </row>
    <row r="531" spans="4:4" x14ac:dyDescent="0.35">
      <c r="D531" t="str" cm="1">
        <f t="array" ref="D531">IFERROR(INDEX(Filter!$G:$G,_xlfn.AGGREGATE(15,6,Filter!$H:$H,ROW(A531))),"")</f>
        <v/>
      </c>
    </row>
    <row r="532" spans="4:4" x14ac:dyDescent="0.35">
      <c r="D532" t="str" cm="1">
        <f t="array" ref="D532">IFERROR(INDEX(Filter!$G:$G,_xlfn.AGGREGATE(15,6,Filter!$H:$H,ROW(A532))),"")</f>
        <v/>
      </c>
    </row>
    <row r="533" spans="4:4" x14ac:dyDescent="0.35">
      <c r="D533" t="str" cm="1">
        <f t="array" ref="D533">IFERROR(INDEX(Filter!$G:$G,_xlfn.AGGREGATE(15,6,Filter!$H:$H,ROW(A533))),"")</f>
        <v/>
      </c>
    </row>
    <row r="534" spans="4:4" x14ac:dyDescent="0.35">
      <c r="D534" t="str" cm="1">
        <f t="array" ref="D534">IFERROR(INDEX(Filter!$G:$G,_xlfn.AGGREGATE(15,6,Filter!$H:$H,ROW(A534))),"")</f>
        <v/>
      </c>
    </row>
    <row r="535" spans="4:4" x14ac:dyDescent="0.35">
      <c r="D535" t="str" cm="1">
        <f t="array" ref="D535">IFERROR(INDEX(Filter!$G:$G,_xlfn.AGGREGATE(15,6,Filter!$H:$H,ROW(A535))),"")</f>
        <v/>
      </c>
    </row>
    <row r="536" spans="4:4" x14ac:dyDescent="0.35">
      <c r="D536" t="str" cm="1">
        <f t="array" ref="D536">IFERROR(INDEX(Filter!$G:$G,_xlfn.AGGREGATE(15,6,Filter!$H:$H,ROW(A536))),"")</f>
        <v/>
      </c>
    </row>
    <row r="537" spans="4:4" x14ac:dyDescent="0.35">
      <c r="D537" t="str" cm="1">
        <f t="array" ref="D537">IFERROR(INDEX(Filter!$G:$G,_xlfn.AGGREGATE(15,6,Filter!$H:$H,ROW(A537))),"")</f>
        <v/>
      </c>
    </row>
    <row r="538" spans="4:4" x14ac:dyDescent="0.35">
      <c r="D538" t="str" cm="1">
        <f t="array" ref="D538">IFERROR(INDEX(Filter!$G:$G,_xlfn.AGGREGATE(15,6,Filter!$H:$H,ROW(A538))),"")</f>
        <v/>
      </c>
    </row>
    <row r="539" spans="4:4" x14ac:dyDescent="0.35">
      <c r="D539" t="str" cm="1">
        <f t="array" ref="D539">IFERROR(INDEX(Filter!$G:$G,_xlfn.AGGREGATE(15,6,Filter!$H:$H,ROW(A539))),"")</f>
        <v/>
      </c>
    </row>
    <row r="540" spans="4:4" x14ac:dyDescent="0.35">
      <c r="D540" t="str" cm="1">
        <f t="array" ref="D540">IFERROR(INDEX(Filter!$G:$G,_xlfn.AGGREGATE(15,6,Filter!$H:$H,ROW(A540))),"")</f>
        <v/>
      </c>
    </row>
    <row r="541" spans="4:4" x14ac:dyDescent="0.35">
      <c r="D541" t="str" cm="1">
        <f t="array" ref="D541">IFERROR(INDEX(Filter!$G:$G,_xlfn.AGGREGATE(15,6,Filter!$H:$H,ROW(A541))),"")</f>
        <v/>
      </c>
    </row>
    <row r="542" spans="4:4" x14ac:dyDescent="0.35">
      <c r="D542" t="str" cm="1">
        <f t="array" ref="D542">IFERROR(INDEX(Filter!$G:$G,_xlfn.AGGREGATE(15,6,Filter!$H:$H,ROW(A542))),"")</f>
        <v/>
      </c>
    </row>
    <row r="543" spans="4:4" x14ac:dyDescent="0.35">
      <c r="D543" t="str" cm="1">
        <f t="array" ref="D543">IFERROR(INDEX(Filter!$G:$G,_xlfn.AGGREGATE(15,6,Filter!$H:$H,ROW(A543))),"")</f>
        <v/>
      </c>
    </row>
    <row r="544" spans="4:4" x14ac:dyDescent="0.35">
      <c r="D544" t="str" cm="1">
        <f t="array" ref="D544">IFERROR(INDEX(Filter!$G:$G,_xlfn.AGGREGATE(15,6,Filter!$H:$H,ROW(A544))),"")</f>
        <v/>
      </c>
    </row>
    <row r="545" spans="4:4" x14ac:dyDescent="0.35">
      <c r="D545" t="str" cm="1">
        <f t="array" ref="D545">IFERROR(INDEX(Filter!$G:$G,_xlfn.AGGREGATE(15,6,Filter!$H:$H,ROW(A545))),"")</f>
        <v/>
      </c>
    </row>
    <row r="546" spans="4:4" x14ac:dyDescent="0.35">
      <c r="D546" t="str" cm="1">
        <f t="array" ref="D546">IFERROR(INDEX(Filter!$G:$G,_xlfn.AGGREGATE(15,6,Filter!$H:$H,ROW(A546))),"")</f>
        <v/>
      </c>
    </row>
    <row r="547" spans="4:4" x14ac:dyDescent="0.35">
      <c r="D547" t="str" cm="1">
        <f t="array" ref="D547">IFERROR(INDEX(Filter!$G:$G,_xlfn.AGGREGATE(15,6,Filter!$H:$H,ROW(A547))),"")</f>
        <v/>
      </c>
    </row>
    <row r="548" spans="4:4" x14ac:dyDescent="0.35">
      <c r="D548" t="str" cm="1">
        <f t="array" ref="D548">IFERROR(INDEX(Filter!$G:$G,_xlfn.AGGREGATE(15,6,Filter!$H:$H,ROW(A548))),"")</f>
        <v/>
      </c>
    </row>
    <row r="549" spans="4:4" x14ac:dyDescent="0.35">
      <c r="D549" t="str" cm="1">
        <f t="array" ref="D549">IFERROR(INDEX(Filter!$G:$G,_xlfn.AGGREGATE(15,6,Filter!$H:$H,ROW(A549))),"")</f>
        <v/>
      </c>
    </row>
    <row r="550" spans="4:4" x14ac:dyDescent="0.35">
      <c r="D550" t="str" cm="1">
        <f t="array" ref="D550">IFERROR(INDEX(Filter!$G:$G,_xlfn.AGGREGATE(15,6,Filter!$H:$H,ROW(A550))),"")</f>
        <v/>
      </c>
    </row>
    <row r="551" spans="4:4" x14ac:dyDescent="0.35">
      <c r="D551" t="str" cm="1">
        <f t="array" ref="D551">IFERROR(INDEX(Filter!$G:$G,_xlfn.AGGREGATE(15,6,Filter!$H:$H,ROW(A551))),"")</f>
        <v/>
      </c>
    </row>
    <row r="552" spans="4:4" x14ac:dyDescent="0.35">
      <c r="D552" t="str" cm="1">
        <f t="array" ref="D552">IFERROR(INDEX(Filter!$G:$G,_xlfn.AGGREGATE(15,6,Filter!$H:$H,ROW(A552))),"")</f>
        <v/>
      </c>
    </row>
    <row r="553" spans="4:4" x14ac:dyDescent="0.35">
      <c r="D553" t="str" cm="1">
        <f t="array" ref="D553">IFERROR(INDEX(Filter!$G:$G,_xlfn.AGGREGATE(15,6,Filter!$H:$H,ROW(A553))),"")</f>
        <v/>
      </c>
    </row>
    <row r="554" spans="4:4" x14ac:dyDescent="0.35">
      <c r="D554" t="str" cm="1">
        <f t="array" ref="D554">IFERROR(INDEX(Filter!$G:$G,_xlfn.AGGREGATE(15,6,Filter!$H:$H,ROW(A554))),"")</f>
        <v/>
      </c>
    </row>
    <row r="555" spans="4:4" x14ac:dyDescent="0.35">
      <c r="D555" t="str" cm="1">
        <f t="array" ref="D555">IFERROR(INDEX(Filter!$G:$G,_xlfn.AGGREGATE(15,6,Filter!$H:$H,ROW(A555))),"")</f>
        <v/>
      </c>
    </row>
    <row r="556" spans="4:4" x14ac:dyDescent="0.35">
      <c r="D556" t="str" cm="1">
        <f t="array" ref="D556">IFERROR(INDEX(Filter!$G:$G,_xlfn.AGGREGATE(15,6,Filter!$H:$H,ROW(A556))),"")</f>
        <v/>
      </c>
    </row>
    <row r="557" spans="4:4" x14ac:dyDescent="0.35">
      <c r="D557" t="str" cm="1">
        <f t="array" ref="D557">IFERROR(INDEX(Filter!$G:$G,_xlfn.AGGREGATE(15,6,Filter!$H:$H,ROW(A557))),"")</f>
        <v/>
      </c>
    </row>
    <row r="558" spans="4:4" x14ac:dyDescent="0.35">
      <c r="D558" t="str" cm="1">
        <f t="array" ref="D558">IFERROR(INDEX(Filter!$G:$G,_xlfn.AGGREGATE(15,6,Filter!$H:$H,ROW(A558))),"")</f>
        <v/>
      </c>
    </row>
    <row r="559" spans="4:4" x14ac:dyDescent="0.35">
      <c r="D559" t="str" cm="1">
        <f t="array" ref="D559">IFERROR(INDEX(Filter!$G:$G,_xlfn.AGGREGATE(15,6,Filter!$H:$H,ROW(A559))),"")</f>
        <v/>
      </c>
    </row>
    <row r="560" spans="4:4" x14ac:dyDescent="0.35">
      <c r="D560" t="str" cm="1">
        <f t="array" ref="D560">IFERROR(INDEX(Filter!$G:$G,_xlfn.AGGREGATE(15,6,Filter!$H:$H,ROW(A560))),"")</f>
        <v/>
      </c>
    </row>
    <row r="561" spans="4:4" x14ac:dyDescent="0.35">
      <c r="D561" t="str" cm="1">
        <f t="array" ref="D561">IFERROR(INDEX(Filter!$G:$G,_xlfn.AGGREGATE(15,6,Filter!$H:$H,ROW(A561))),"")</f>
        <v/>
      </c>
    </row>
    <row r="562" spans="4:4" x14ac:dyDescent="0.35">
      <c r="D562" t="str" cm="1">
        <f t="array" ref="D562">IFERROR(INDEX(Filter!$G:$G,_xlfn.AGGREGATE(15,6,Filter!$H:$H,ROW(A562))),"")</f>
        <v/>
      </c>
    </row>
    <row r="563" spans="4:4" x14ac:dyDescent="0.35">
      <c r="D563" t="str" cm="1">
        <f t="array" ref="D563">IFERROR(INDEX(Filter!$G:$G,_xlfn.AGGREGATE(15,6,Filter!$H:$H,ROW(A563))),"")</f>
        <v/>
      </c>
    </row>
    <row r="564" spans="4:4" x14ac:dyDescent="0.35">
      <c r="D564" t="str" cm="1">
        <f t="array" ref="D564">IFERROR(INDEX(Filter!$G:$G,_xlfn.AGGREGATE(15,6,Filter!$H:$H,ROW(A564))),"")</f>
        <v/>
      </c>
    </row>
    <row r="565" spans="4:4" x14ac:dyDescent="0.35">
      <c r="D565" t="str" cm="1">
        <f t="array" ref="D565">IFERROR(INDEX(Filter!$G:$G,_xlfn.AGGREGATE(15,6,Filter!$H:$H,ROW(A565))),"")</f>
        <v/>
      </c>
    </row>
    <row r="566" spans="4:4" x14ac:dyDescent="0.35">
      <c r="D566" t="str" cm="1">
        <f t="array" ref="D566">IFERROR(INDEX(Filter!$G:$G,_xlfn.AGGREGATE(15,6,Filter!$H:$H,ROW(A566))),"")</f>
        <v/>
      </c>
    </row>
    <row r="567" spans="4:4" x14ac:dyDescent="0.35">
      <c r="D567" t="str" cm="1">
        <f t="array" ref="D567">IFERROR(INDEX(Filter!$G:$G,_xlfn.AGGREGATE(15,6,Filter!$H:$H,ROW(A567))),"")</f>
        <v/>
      </c>
    </row>
    <row r="568" spans="4:4" x14ac:dyDescent="0.35">
      <c r="D568" t="str" cm="1">
        <f t="array" ref="D568">IFERROR(INDEX(Filter!$G:$G,_xlfn.AGGREGATE(15,6,Filter!$H:$H,ROW(A568))),"")</f>
        <v/>
      </c>
    </row>
    <row r="569" spans="4:4" x14ac:dyDescent="0.35">
      <c r="D569" t="str" cm="1">
        <f t="array" ref="D569">IFERROR(INDEX(Filter!$G:$G,_xlfn.AGGREGATE(15,6,Filter!$H:$H,ROW(A569))),"")</f>
        <v/>
      </c>
    </row>
    <row r="570" spans="4:4" x14ac:dyDescent="0.35">
      <c r="D570" t="str" cm="1">
        <f t="array" ref="D570">IFERROR(INDEX(Filter!$G:$G,_xlfn.AGGREGATE(15,6,Filter!$H:$H,ROW(A570))),"")</f>
        <v/>
      </c>
    </row>
    <row r="571" spans="4:4" x14ac:dyDescent="0.35">
      <c r="D571" t="str" cm="1">
        <f t="array" ref="D571">IFERROR(INDEX(Filter!$G:$G,_xlfn.AGGREGATE(15,6,Filter!$H:$H,ROW(A571))),"")</f>
        <v/>
      </c>
    </row>
    <row r="572" spans="4:4" x14ac:dyDescent="0.35">
      <c r="D572" t="str" cm="1">
        <f t="array" ref="D572">IFERROR(INDEX(Filter!$G:$G,_xlfn.AGGREGATE(15,6,Filter!$H:$H,ROW(A572))),"")</f>
        <v/>
      </c>
    </row>
    <row r="573" spans="4:4" x14ac:dyDescent="0.35">
      <c r="D573" t="str" cm="1">
        <f t="array" ref="D573">IFERROR(INDEX(Filter!$G:$G,_xlfn.AGGREGATE(15,6,Filter!$H:$H,ROW(A573))),"")</f>
        <v/>
      </c>
    </row>
    <row r="574" spans="4:4" x14ac:dyDescent="0.35">
      <c r="D574" t="str" cm="1">
        <f t="array" ref="D574">IFERROR(INDEX(Filter!$G:$G,_xlfn.AGGREGATE(15,6,Filter!$H:$H,ROW(A574))),"")</f>
        <v/>
      </c>
    </row>
    <row r="575" spans="4:4" x14ac:dyDescent="0.35">
      <c r="D575" t="str" cm="1">
        <f t="array" ref="D575">IFERROR(INDEX(Filter!$G:$G,_xlfn.AGGREGATE(15,6,Filter!$H:$H,ROW(A575))),"")</f>
        <v/>
      </c>
    </row>
    <row r="576" spans="4:4" x14ac:dyDescent="0.35">
      <c r="D576" t="str" cm="1">
        <f t="array" ref="D576">IFERROR(INDEX(Filter!$G:$G,_xlfn.AGGREGATE(15,6,Filter!$H:$H,ROW(A576))),"")</f>
        <v/>
      </c>
    </row>
    <row r="577" spans="4:4" x14ac:dyDescent="0.35">
      <c r="D577" t="str" cm="1">
        <f t="array" ref="D577">IFERROR(INDEX(Filter!$G:$G,_xlfn.AGGREGATE(15,6,Filter!$H:$H,ROW(A577))),"")</f>
        <v/>
      </c>
    </row>
    <row r="578" spans="4:4" x14ac:dyDescent="0.35">
      <c r="D578" t="str" cm="1">
        <f t="array" ref="D578">IFERROR(INDEX(Filter!$G:$G,_xlfn.AGGREGATE(15,6,Filter!$H:$H,ROW(A578))),"")</f>
        <v/>
      </c>
    </row>
    <row r="579" spans="4:4" x14ac:dyDescent="0.35">
      <c r="D579" t="str" cm="1">
        <f t="array" ref="D579">IFERROR(INDEX(Filter!$G:$G,_xlfn.AGGREGATE(15,6,Filter!$H:$H,ROW(A579))),"")</f>
        <v/>
      </c>
    </row>
    <row r="580" spans="4:4" x14ac:dyDescent="0.35">
      <c r="D580" t="str" cm="1">
        <f t="array" ref="D580">IFERROR(INDEX(Filter!$G:$G,_xlfn.AGGREGATE(15,6,Filter!$H:$H,ROW(A580))),"")</f>
        <v/>
      </c>
    </row>
    <row r="581" spans="4:4" x14ac:dyDescent="0.35">
      <c r="D581" t="str" cm="1">
        <f t="array" ref="D581">IFERROR(INDEX(Filter!$G:$G,_xlfn.AGGREGATE(15,6,Filter!$H:$H,ROW(A581))),"")</f>
        <v/>
      </c>
    </row>
    <row r="582" spans="4:4" x14ac:dyDescent="0.35">
      <c r="D582" t="str" cm="1">
        <f t="array" ref="D582">IFERROR(INDEX(Filter!$G:$G,_xlfn.AGGREGATE(15,6,Filter!$H:$H,ROW(A582))),"")</f>
        <v/>
      </c>
    </row>
    <row r="583" spans="4:4" x14ac:dyDescent="0.35">
      <c r="D583" t="str" cm="1">
        <f t="array" ref="D583">IFERROR(INDEX(Filter!$G:$G,_xlfn.AGGREGATE(15,6,Filter!$H:$H,ROW(A583))),"")</f>
        <v/>
      </c>
    </row>
    <row r="584" spans="4:4" x14ac:dyDescent="0.35">
      <c r="D584" t="str" cm="1">
        <f t="array" ref="D584">IFERROR(INDEX(Filter!$G:$G,_xlfn.AGGREGATE(15,6,Filter!$H:$H,ROW(A584))),"")</f>
        <v/>
      </c>
    </row>
    <row r="585" spans="4:4" x14ac:dyDescent="0.35">
      <c r="D585" t="str" cm="1">
        <f t="array" ref="D585">IFERROR(INDEX(Filter!$G:$G,_xlfn.AGGREGATE(15,6,Filter!$H:$H,ROW(A585))),"")</f>
        <v/>
      </c>
    </row>
    <row r="586" spans="4:4" x14ac:dyDescent="0.35">
      <c r="D586" t="str" cm="1">
        <f t="array" ref="D586">IFERROR(INDEX(Filter!$G:$G,_xlfn.AGGREGATE(15,6,Filter!$H:$H,ROW(A586))),"")</f>
        <v/>
      </c>
    </row>
    <row r="587" spans="4:4" x14ac:dyDescent="0.35">
      <c r="D587" t="str" cm="1">
        <f t="array" ref="D587">IFERROR(INDEX(Filter!$G:$G,_xlfn.AGGREGATE(15,6,Filter!$H:$H,ROW(A587))),"")</f>
        <v/>
      </c>
    </row>
    <row r="588" spans="4:4" x14ac:dyDescent="0.35">
      <c r="D588" t="str" cm="1">
        <f t="array" ref="D588">IFERROR(INDEX(Filter!$G:$G,_xlfn.AGGREGATE(15,6,Filter!$H:$H,ROW(A588))),"")</f>
        <v/>
      </c>
    </row>
    <row r="589" spans="4:4" x14ac:dyDescent="0.35">
      <c r="D589" t="str" cm="1">
        <f t="array" ref="D589">IFERROR(INDEX(Filter!$G:$G,_xlfn.AGGREGATE(15,6,Filter!$H:$H,ROW(A589))),"")</f>
        <v/>
      </c>
    </row>
    <row r="590" spans="4:4" x14ac:dyDescent="0.35">
      <c r="D590" t="str" cm="1">
        <f t="array" ref="D590">IFERROR(INDEX(Filter!$G:$G,_xlfn.AGGREGATE(15,6,Filter!$H:$H,ROW(A590))),"")</f>
        <v/>
      </c>
    </row>
    <row r="591" spans="4:4" x14ac:dyDescent="0.35">
      <c r="D591" t="str" cm="1">
        <f t="array" ref="D591">IFERROR(INDEX(Filter!$G:$G,_xlfn.AGGREGATE(15,6,Filter!$H:$H,ROW(A591))),"")</f>
        <v/>
      </c>
    </row>
    <row r="592" spans="4:4" x14ac:dyDescent="0.35">
      <c r="D592" t="str" cm="1">
        <f t="array" ref="D592">IFERROR(INDEX(Filter!$G:$G,_xlfn.AGGREGATE(15,6,Filter!$H:$H,ROW(A592))),"")</f>
        <v/>
      </c>
    </row>
    <row r="593" spans="4:4" x14ac:dyDescent="0.35">
      <c r="D593" t="str" cm="1">
        <f t="array" ref="D593">IFERROR(INDEX(Filter!$G:$G,_xlfn.AGGREGATE(15,6,Filter!$H:$H,ROW(A593))),"")</f>
        <v/>
      </c>
    </row>
    <row r="594" spans="4:4" x14ac:dyDescent="0.35">
      <c r="D594" t="str" cm="1">
        <f t="array" ref="D594">IFERROR(INDEX(Filter!$G:$G,_xlfn.AGGREGATE(15,6,Filter!$H:$H,ROW(A594))),"")</f>
        <v/>
      </c>
    </row>
    <row r="595" spans="4:4" x14ac:dyDescent="0.35">
      <c r="D595" t="str" cm="1">
        <f t="array" ref="D595">IFERROR(INDEX(Filter!$G:$G,_xlfn.AGGREGATE(15,6,Filter!$H:$H,ROW(A595))),"")</f>
        <v/>
      </c>
    </row>
    <row r="596" spans="4:4" x14ac:dyDescent="0.35">
      <c r="D596" t="str" cm="1">
        <f t="array" ref="D596">IFERROR(INDEX(Filter!$G:$G,_xlfn.AGGREGATE(15,6,Filter!$H:$H,ROW(A596))),"")</f>
        <v/>
      </c>
    </row>
    <row r="597" spans="4:4" x14ac:dyDescent="0.35">
      <c r="D597" t="str" cm="1">
        <f t="array" ref="D597">IFERROR(INDEX(Filter!$G:$G,_xlfn.AGGREGATE(15,6,Filter!$H:$H,ROW(A597))),"")</f>
        <v/>
      </c>
    </row>
    <row r="598" spans="4:4" x14ac:dyDescent="0.35">
      <c r="D598" t="str" cm="1">
        <f t="array" ref="D598">IFERROR(INDEX(Filter!$G:$G,_xlfn.AGGREGATE(15,6,Filter!$H:$H,ROW(A598))),"")</f>
        <v/>
      </c>
    </row>
    <row r="599" spans="4:4" x14ac:dyDescent="0.35">
      <c r="D599" t="str" cm="1">
        <f t="array" ref="D599">IFERROR(INDEX(Filter!$G:$G,_xlfn.AGGREGATE(15,6,Filter!$H:$H,ROW(A599))),"")</f>
        <v/>
      </c>
    </row>
    <row r="600" spans="4:4" x14ac:dyDescent="0.35">
      <c r="D600" t="str" cm="1">
        <f t="array" ref="D600">IFERROR(INDEX(Filter!$G:$G,_xlfn.AGGREGATE(15,6,Filter!$H:$H,ROW(A600))),"")</f>
        <v/>
      </c>
    </row>
    <row r="601" spans="4:4" x14ac:dyDescent="0.35">
      <c r="D601" t="str" cm="1">
        <f t="array" ref="D601">IFERROR(INDEX(Filter!$G:$G,_xlfn.AGGREGATE(15,6,Filter!$H:$H,ROW(A601))),"")</f>
        <v/>
      </c>
    </row>
    <row r="602" spans="4:4" x14ac:dyDescent="0.35">
      <c r="D602" t="str" cm="1">
        <f t="array" ref="D602">IFERROR(INDEX(Filter!$G:$G,_xlfn.AGGREGATE(15,6,Filter!$H:$H,ROW(A602))),"")</f>
        <v/>
      </c>
    </row>
    <row r="603" spans="4:4" x14ac:dyDescent="0.35">
      <c r="D603" t="str" cm="1">
        <f t="array" ref="D603">IFERROR(INDEX(Filter!$G:$G,_xlfn.AGGREGATE(15,6,Filter!$H:$H,ROW(A603))),"")</f>
        <v/>
      </c>
    </row>
    <row r="604" spans="4:4" x14ac:dyDescent="0.35">
      <c r="D604" t="str" cm="1">
        <f t="array" ref="D604">IFERROR(INDEX(Filter!$G:$G,_xlfn.AGGREGATE(15,6,Filter!$H:$H,ROW(A604))),"")</f>
        <v/>
      </c>
    </row>
    <row r="605" spans="4:4" x14ac:dyDescent="0.35">
      <c r="D605" t="str" cm="1">
        <f t="array" ref="D605">IFERROR(INDEX(Filter!$G:$G,_xlfn.AGGREGATE(15,6,Filter!$H:$H,ROW(A605))),"")</f>
        <v/>
      </c>
    </row>
    <row r="606" spans="4:4" x14ac:dyDescent="0.35">
      <c r="D606" t="str" cm="1">
        <f t="array" ref="D606">IFERROR(INDEX(Filter!$G:$G,_xlfn.AGGREGATE(15,6,Filter!$H:$H,ROW(A606))),"")</f>
        <v/>
      </c>
    </row>
    <row r="607" spans="4:4" x14ac:dyDescent="0.35">
      <c r="D607" t="str" cm="1">
        <f t="array" ref="D607">IFERROR(INDEX(Filter!$G:$G,_xlfn.AGGREGATE(15,6,Filter!$H:$H,ROW(A607))),"")</f>
        <v/>
      </c>
    </row>
    <row r="608" spans="4:4" x14ac:dyDescent="0.35">
      <c r="D608" t="str" cm="1">
        <f t="array" ref="D608">IFERROR(INDEX(Filter!$G:$G,_xlfn.AGGREGATE(15,6,Filter!$H:$H,ROW(A608))),"")</f>
        <v/>
      </c>
    </row>
    <row r="609" spans="4:4" x14ac:dyDescent="0.35">
      <c r="D609" t="str" cm="1">
        <f t="array" ref="D609">IFERROR(INDEX(Filter!$G:$G,_xlfn.AGGREGATE(15,6,Filter!$H:$H,ROW(A609))),"")</f>
        <v/>
      </c>
    </row>
    <row r="610" spans="4:4" x14ac:dyDescent="0.35">
      <c r="D610" t="str" cm="1">
        <f t="array" ref="D610">IFERROR(INDEX(Filter!$G:$G,_xlfn.AGGREGATE(15,6,Filter!$H:$H,ROW(A610))),"")</f>
        <v/>
      </c>
    </row>
    <row r="611" spans="4:4" x14ac:dyDescent="0.35">
      <c r="D611" t="str" cm="1">
        <f t="array" ref="D611">IFERROR(INDEX(Filter!$G:$G,_xlfn.AGGREGATE(15,6,Filter!$H:$H,ROW(A611))),"")</f>
        <v/>
      </c>
    </row>
    <row r="612" spans="4:4" x14ac:dyDescent="0.35">
      <c r="D612" t="str" cm="1">
        <f t="array" ref="D612">IFERROR(INDEX(Filter!$G:$G,_xlfn.AGGREGATE(15,6,Filter!$H:$H,ROW(A612))),"")</f>
        <v/>
      </c>
    </row>
    <row r="613" spans="4:4" x14ac:dyDescent="0.35">
      <c r="D613" t="str" cm="1">
        <f t="array" ref="D613">IFERROR(INDEX(Filter!$G:$G,_xlfn.AGGREGATE(15,6,Filter!$H:$H,ROW(A613))),"")</f>
        <v/>
      </c>
    </row>
    <row r="614" spans="4:4" x14ac:dyDescent="0.35">
      <c r="D614" t="str" cm="1">
        <f t="array" ref="D614">IFERROR(INDEX(Filter!$G:$G,_xlfn.AGGREGATE(15,6,Filter!$H:$H,ROW(A614))),"")</f>
        <v/>
      </c>
    </row>
    <row r="615" spans="4:4" x14ac:dyDescent="0.35">
      <c r="D615" t="str" cm="1">
        <f t="array" ref="D615">IFERROR(INDEX(Filter!$G:$G,_xlfn.AGGREGATE(15,6,Filter!$H:$H,ROW(A615))),"")</f>
        <v/>
      </c>
    </row>
    <row r="616" spans="4:4" x14ac:dyDescent="0.35">
      <c r="D616" t="str" cm="1">
        <f t="array" ref="D616">IFERROR(INDEX(Filter!$G:$G,_xlfn.AGGREGATE(15,6,Filter!$H:$H,ROW(A616))),"")</f>
        <v/>
      </c>
    </row>
    <row r="617" spans="4:4" x14ac:dyDescent="0.35">
      <c r="D617" t="str" cm="1">
        <f t="array" ref="D617">IFERROR(INDEX(Filter!$G:$G,_xlfn.AGGREGATE(15,6,Filter!$H:$H,ROW(A617))),"")</f>
        <v/>
      </c>
    </row>
    <row r="618" spans="4:4" x14ac:dyDescent="0.35">
      <c r="D618" t="str" cm="1">
        <f t="array" ref="D618">IFERROR(INDEX(Filter!$G:$G,_xlfn.AGGREGATE(15,6,Filter!$H:$H,ROW(A618))),"")</f>
        <v/>
      </c>
    </row>
    <row r="619" spans="4:4" x14ac:dyDescent="0.35">
      <c r="D619" t="str" cm="1">
        <f t="array" ref="D619">IFERROR(INDEX(Filter!$G:$G,_xlfn.AGGREGATE(15,6,Filter!$H:$H,ROW(A619))),"")</f>
        <v/>
      </c>
    </row>
    <row r="620" spans="4:4" x14ac:dyDescent="0.35">
      <c r="D620" t="str" cm="1">
        <f t="array" ref="D620">IFERROR(INDEX(Filter!$G:$G,_xlfn.AGGREGATE(15,6,Filter!$H:$H,ROW(A620))),"")</f>
        <v/>
      </c>
    </row>
    <row r="621" spans="4:4" x14ac:dyDescent="0.35">
      <c r="D621" t="str" cm="1">
        <f t="array" ref="D621">IFERROR(INDEX(Filter!$G:$G,_xlfn.AGGREGATE(15,6,Filter!$H:$H,ROW(A621))),"")</f>
        <v/>
      </c>
    </row>
    <row r="622" spans="4:4" x14ac:dyDescent="0.35">
      <c r="D622" t="str" cm="1">
        <f t="array" ref="D622">IFERROR(INDEX(Filter!$G:$G,_xlfn.AGGREGATE(15,6,Filter!$H:$H,ROW(A622))),"")</f>
        <v/>
      </c>
    </row>
    <row r="623" spans="4:4" x14ac:dyDescent="0.35">
      <c r="D623" t="str" cm="1">
        <f t="array" ref="D623">IFERROR(INDEX(Filter!$G:$G,_xlfn.AGGREGATE(15,6,Filter!$H:$H,ROW(A623))),"")</f>
        <v/>
      </c>
    </row>
    <row r="624" spans="4:4" x14ac:dyDescent="0.35">
      <c r="D624" t="str" cm="1">
        <f t="array" ref="D624">IFERROR(INDEX(Filter!$G:$G,_xlfn.AGGREGATE(15,6,Filter!$H:$H,ROW(A624))),"")</f>
        <v/>
      </c>
    </row>
    <row r="625" spans="4:4" x14ac:dyDescent="0.35">
      <c r="D625" t="str" cm="1">
        <f t="array" ref="D625">IFERROR(INDEX(Filter!$G:$G,_xlfn.AGGREGATE(15,6,Filter!$H:$H,ROW(A625))),"")</f>
        <v/>
      </c>
    </row>
    <row r="626" spans="4:4" x14ac:dyDescent="0.35">
      <c r="D626" t="str" cm="1">
        <f t="array" ref="D626">IFERROR(INDEX(Filter!$G:$G,_xlfn.AGGREGATE(15,6,Filter!$H:$H,ROW(A626))),"")</f>
        <v/>
      </c>
    </row>
    <row r="627" spans="4:4" x14ac:dyDescent="0.35">
      <c r="D627" t="str" cm="1">
        <f t="array" ref="D627">IFERROR(INDEX(Filter!$G:$G,_xlfn.AGGREGATE(15,6,Filter!$H:$H,ROW(A627))),"")</f>
        <v/>
      </c>
    </row>
    <row r="628" spans="4:4" x14ac:dyDescent="0.35">
      <c r="D628" t="str" cm="1">
        <f t="array" ref="D628">IFERROR(INDEX(Filter!$G:$G,_xlfn.AGGREGATE(15,6,Filter!$H:$H,ROW(A628))),"")</f>
        <v/>
      </c>
    </row>
    <row r="629" spans="4:4" x14ac:dyDescent="0.35">
      <c r="D629" t="str" cm="1">
        <f t="array" ref="D629">IFERROR(INDEX(Filter!$G:$G,_xlfn.AGGREGATE(15,6,Filter!$H:$H,ROW(A629))),"")</f>
        <v/>
      </c>
    </row>
    <row r="630" spans="4:4" x14ac:dyDescent="0.35">
      <c r="D630" t="str" cm="1">
        <f t="array" ref="D630">IFERROR(INDEX(Filter!$G:$G,_xlfn.AGGREGATE(15,6,Filter!$H:$H,ROW(A630))),"")</f>
        <v/>
      </c>
    </row>
  </sheetData>
  <sheetProtection algorithmName="SHA-512" hashValue="xocSmtLHoeXYMZJY+EcpDTGcA+5TSkallpClbozARKXZ1G48UUVTUMREZBptmOvp3StLuYYosB6eRq4GzntVeg==" saltValue="2sSlXyLIk0peG1rEs0TRMA==" spinCount="100000" sheet="1" objects="1" scenarios="1"/>
  <pageMargins left="0.7" right="0.7" top="0.78740157499999996" bottom="0.78740157499999996"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D1C592D-7FDB-4ABE-8C5C-B719E6DB07CC}">
          <x14:formula1>
            <xm:f>Blatt2!$A$2:$A$1048576</xm:f>
          </x14:formula1>
          <xm:sqref>B1</xm:sqref>
        </x14:dataValidation>
        <x14:dataValidation type="list" allowBlank="1" showInputMessage="1" showErrorMessage="1" xr:uid="{ACDFA1C4-BC4A-4715-AC7A-DDDF6D6E2E3A}">
          <x14:formula1>
            <xm:f>Filter!A1:A483</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B0C93-4DA3-473F-A0B9-B9A847A04BC2}">
  <sheetPr codeName="Tabelle3"/>
  <dimension ref="A1:D340"/>
  <sheetViews>
    <sheetView tabSelected="1" workbookViewId="0">
      <selection activeCell="B1" sqref="A1:B1"/>
    </sheetView>
  </sheetViews>
  <sheetFormatPr baseColWidth="10" defaultRowHeight="14.5" x14ac:dyDescent="0.35"/>
  <cols>
    <col min="1" max="1" width="85.54296875" bestFit="1" customWidth="1"/>
    <col min="2" max="2" width="109.36328125" customWidth="1"/>
  </cols>
  <sheetData>
    <row r="1" spans="1:2" ht="16" x14ac:dyDescent="0.4">
      <c r="A1" s="20" t="s">
        <v>286</v>
      </c>
      <c r="B1" s="20" t="s">
        <v>344</v>
      </c>
    </row>
    <row r="2" spans="1:2" x14ac:dyDescent="0.35">
      <c r="A2" s="25" t="s">
        <v>14</v>
      </c>
      <c r="B2" t="s">
        <v>145</v>
      </c>
    </row>
    <row r="3" spans="1:2" x14ac:dyDescent="0.35">
      <c r="A3" s="25"/>
      <c r="B3" t="s">
        <v>3</v>
      </c>
    </row>
    <row r="4" spans="1:2" x14ac:dyDescent="0.35">
      <c r="A4" s="25"/>
      <c r="B4" t="s">
        <v>4</v>
      </c>
    </row>
    <row r="5" spans="1:2" x14ac:dyDescent="0.35">
      <c r="A5" s="25"/>
      <c r="B5" t="s">
        <v>5</v>
      </c>
    </row>
    <row r="6" spans="1:2" x14ac:dyDescent="0.35">
      <c r="A6" s="25"/>
      <c r="B6" t="s">
        <v>6</v>
      </c>
    </row>
    <row r="7" spans="1:2" x14ac:dyDescent="0.35">
      <c r="A7" s="25"/>
      <c r="B7" t="s">
        <v>28</v>
      </c>
    </row>
    <row r="8" spans="1:2" x14ac:dyDescent="0.35">
      <c r="A8" s="25" t="s">
        <v>25</v>
      </c>
      <c r="B8" t="s">
        <v>146</v>
      </c>
    </row>
    <row r="9" spans="1:2" x14ac:dyDescent="0.35">
      <c r="A9" s="25"/>
      <c r="B9" t="s">
        <v>3</v>
      </c>
    </row>
    <row r="10" spans="1:2" x14ac:dyDescent="0.35">
      <c r="A10" s="25"/>
      <c r="B10" t="s">
        <v>4</v>
      </c>
    </row>
    <row r="11" spans="1:2" x14ac:dyDescent="0.35">
      <c r="A11" s="25"/>
      <c r="B11" t="s">
        <v>5</v>
      </c>
    </row>
    <row r="12" spans="1:2" x14ac:dyDescent="0.35">
      <c r="A12" s="25"/>
      <c r="B12" t="s">
        <v>6</v>
      </c>
    </row>
    <row r="13" spans="1:2" x14ac:dyDescent="0.35">
      <c r="A13" s="25"/>
      <c r="B13" t="s">
        <v>28</v>
      </c>
    </row>
    <row r="14" spans="1:2" x14ac:dyDescent="0.35">
      <c r="A14" s="25" t="s">
        <v>26</v>
      </c>
      <c r="B14" t="s">
        <v>147</v>
      </c>
    </row>
    <row r="15" spans="1:2" x14ac:dyDescent="0.35">
      <c r="A15" s="25"/>
      <c r="B15" t="s">
        <v>3</v>
      </c>
    </row>
    <row r="16" spans="1:2" x14ac:dyDescent="0.35">
      <c r="A16" s="25"/>
      <c r="B16" t="s">
        <v>4</v>
      </c>
    </row>
    <row r="17" spans="1:2" x14ac:dyDescent="0.35">
      <c r="A17" s="25"/>
      <c r="B17" t="s">
        <v>5</v>
      </c>
    </row>
    <row r="18" spans="1:2" x14ac:dyDescent="0.35">
      <c r="A18" s="25"/>
      <c r="B18" t="s">
        <v>6</v>
      </c>
    </row>
    <row r="19" spans="1:2" x14ac:dyDescent="0.35">
      <c r="A19" s="25"/>
      <c r="B19" t="s">
        <v>28</v>
      </c>
    </row>
    <row r="20" spans="1:2" ht="43.5" x14ac:dyDescent="0.35">
      <c r="A20" s="25" t="s">
        <v>15</v>
      </c>
      <c r="B20" s="8" t="s">
        <v>148</v>
      </c>
    </row>
    <row r="21" spans="1:2" x14ac:dyDescent="0.35">
      <c r="A21" s="25"/>
      <c r="B21" t="s">
        <v>36</v>
      </c>
    </row>
    <row r="22" spans="1:2" x14ac:dyDescent="0.35">
      <c r="A22" s="25"/>
      <c r="B22" t="s">
        <v>29</v>
      </c>
    </row>
    <row r="23" spans="1:2" x14ac:dyDescent="0.35">
      <c r="A23" s="25"/>
      <c r="B23" t="s">
        <v>30</v>
      </c>
    </row>
    <row r="24" spans="1:2" x14ac:dyDescent="0.35">
      <c r="A24" s="25"/>
      <c r="B24" t="s">
        <v>31</v>
      </c>
    </row>
    <row r="25" spans="1:2" x14ac:dyDescent="0.35">
      <c r="A25" s="25"/>
      <c r="B25" t="s">
        <v>32</v>
      </c>
    </row>
    <row r="26" spans="1:2" x14ac:dyDescent="0.35">
      <c r="A26" s="25"/>
      <c r="B26" t="s">
        <v>33</v>
      </c>
    </row>
    <row r="27" spans="1:2" x14ac:dyDescent="0.35">
      <c r="A27" s="25"/>
      <c r="B27" t="s">
        <v>3</v>
      </c>
    </row>
    <row r="28" spans="1:2" x14ac:dyDescent="0.35">
      <c r="A28" s="25"/>
      <c r="B28" t="s">
        <v>4</v>
      </c>
    </row>
    <row r="29" spans="1:2" x14ac:dyDescent="0.35">
      <c r="A29" s="25"/>
      <c r="B29" t="s">
        <v>5</v>
      </c>
    </row>
    <row r="30" spans="1:2" x14ac:dyDescent="0.35">
      <c r="A30" s="25"/>
      <c r="B30" t="s">
        <v>6</v>
      </c>
    </row>
    <row r="31" spans="1:2" x14ac:dyDescent="0.35">
      <c r="A31" s="25"/>
      <c r="B31" t="s">
        <v>34</v>
      </c>
    </row>
    <row r="32" spans="1:2" x14ac:dyDescent="0.35">
      <c r="A32" s="25"/>
      <c r="B32" t="s">
        <v>35</v>
      </c>
    </row>
    <row r="33" spans="1:2" ht="58" x14ac:dyDescent="0.35">
      <c r="A33" s="25" t="s">
        <v>27</v>
      </c>
      <c r="B33" s="13" t="s">
        <v>149</v>
      </c>
    </row>
    <row r="34" spans="1:2" x14ac:dyDescent="0.35">
      <c r="A34" s="25"/>
      <c r="B34" t="s">
        <v>7</v>
      </c>
    </row>
    <row r="35" spans="1:2" x14ac:dyDescent="0.35">
      <c r="A35" s="25"/>
      <c r="B35" t="s">
        <v>8</v>
      </c>
    </row>
    <row r="36" spans="1:2" x14ac:dyDescent="0.35">
      <c r="A36" s="25"/>
      <c r="B36" t="s">
        <v>13</v>
      </c>
    </row>
    <row r="37" spans="1:2" x14ac:dyDescent="0.35">
      <c r="A37" s="25" t="s">
        <v>52</v>
      </c>
      <c r="B37" t="s">
        <v>152</v>
      </c>
    </row>
    <row r="38" spans="1:2" x14ac:dyDescent="0.35">
      <c r="A38" s="25"/>
      <c r="B38" t="s">
        <v>9</v>
      </c>
    </row>
    <row r="39" spans="1:2" x14ac:dyDescent="0.35">
      <c r="A39" s="25"/>
      <c r="B39" t="s">
        <v>10</v>
      </c>
    </row>
    <row r="40" spans="1:2" x14ac:dyDescent="0.35">
      <c r="A40" s="25"/>
      <c r="B40" t="s">
        <v>150</v>
      </c>
    </row>
    <row r="41" spans="1:2" x14ac:dyDescent="0.35">
      <c r="A41" s="25"/>
      <c r="B41" t="s">
        <v>151</v>
      </c>
    </row>
    <row r="42" spans="1:2" ht="29" x14ac:dyDescent="0.35">
      <c r="A42" s="1" t="s">
        <v>50</v>
      </c>
      <c r="B42" s="8" t="s">
        <v>153</v>
      </c>
    </row>
    <row r="43" spans="1:2" x14ac:dyDescent="0.35">
      <c r="A43" s="1"/>
      <c r="B43" t="s">
        <v>9</v>
      </c>
    </row>
    <row r="44" spans="1:2" x14ac:dyDescent="0.35">
      <c r="A44" s="1"/>
      <c r="B44" t="s">
        <v>10</v>
      </c>
    </row>
    <row r="45" spans="1:2" x14ac:dyDescent="0.35">
      <c r="A45" s="1"/>
      <c r="B45" t="s">
        <v>150</v>
      </c>
    </row>
    <row r="46" spans="1:2" x14ac:dyDescent="0.35">
      <c r="A46" s="1"/>
      <c r="B46" t="s">
        <v>151</v>
      </c>
    </row>
    <row r="47" spans="1:2" x14ac:dyDescent="0.35">
      <c r="A47" s="25" t="s">
        <v>0</v>
      </c>
      <c r="B47" s="4" t="s">
        <v>56</v>
      </c>
    </row>
    <row r="48" spans="1:2" x14ac:dyDescent="0.35">
      <c r="A48" s="25"/>
      <c r="B48" s="4" t="s">
        <v>57</v>
      </c>
    </row>
    <row r="49" spans="1:2" x14ac:dyDescent="0.35">
      <c r="A49" s="25" t="s">
        <v>38</v>
      </c>
      <c r="B49" s="4" t="s">
        <v>58</v>
      </c>
    </row>
    <row r="50" spans="1:2" x14ac:dyDescent="0.35">
      <c r="A50" s="25"/>
      <c r="B50" s="4" t="s">
        <v>59</v>
      </c>
    </row>
    <row r="51" spans="1:2" x14ac:dyDescent="0.35">
      <c r="A51" s="25"/>
      <c r="B51" s="4" t="s">
        <v>60</v>
      </c>
    </row>
    <row r="52" spans="1:2" x14ac:dyDescent="0.35">
      <c r="A52" s="25"/>
      <c r="B52" s="4" t="s">
        <v>61</v>
      </c>
    </row>
    <row r="53" spans="1:2" x14ac:dyDescent="0.35">
      <c r="A53" s="25"/>
      <c r="B53" s="4" t="s">
        <v>62</v>
      </c>
    </row>
    <row r="54" spans="1:2" x14ac:dyDescent="0.35">
      <c r="A54" s="25"/>
      <c r="B54" s="4" t="s">
        <v>63</v>
      </c>
    </row>
    <row r="55" spans="1:2" x14ac:dyDescent="0.35">
      <c r="A55" s="25"/>
      <c r="B55" s="4" t="s">
        <v>64</v>
      </c>
    </row>
    <row r="56" spans="1:2" ht="29" x14ac:dyDescent="0.35">
      <c r="A56" s="25"/>
      <c r="B56" s="9" t="s">
        <v>65</v>
      </c>
    </row>
    <row r="57" spans="1:2" x14ac:dyDescent="0.35">
      <c r="A57" s="25"/>
      <c r="B57" s="4" t="s">
        <v>66</v>
      </c>
    </row>
    <row r="58" spans="1:2" x14ac:dyDescent="0.35">
      <c r="A58" s="25"/>
      <c r="B58" s="4" t="s">
        <v>67</v>
      </c>
    </row>
    <row r="59" spans="1:2" x14ac:dyDescent="0.35">
      <c r="A59" s="25"/>
      <c r="B59" s="4" t="s">
        <v>68</v>
      </c>
    </row>
    <row r="60" spans="1:2" x14ac:dyDescent="0.35">
      <c r="A60" s="25"/>
      <c r="B60" s="4" t="s">
        <v>69</v>
      </c>
    </row>
    <row r="61" spans="1:2" x14ac:dyDescent="0.35">
      <c r="A61" s="25"/>
      <c r="B61" s="4" t="s">
        <v>70</v>
      </c>
    </row>
    <row r="62" spans="1:2" x14ac:dyDescent="0.35">
      <c r="A62" s="25"/>
      <c r="B62" s="4" t="s">
        <v>71</v>
      </c>
    </row>
    <row r="63" spans="1:2" x14ac:dyDescent="0.35">
      <c r="A63" s="25"/>
      <c r="B63" s="4" t="s">
        <v>72</v>
      </c>
    </row>
    <row r="64" spans="1:2" x14ac:dyDescent="0.35">
      <c r="A64" s="25"/>
      <c r="B64" s="4" t="s">
        <v>73</v>
      </c>
    </row>
    <row r="65" spans="1:2" x14ac:dyDescent="0.35">
      <c r="A65" s="25"/>
      <c r="B65" s="4" t="s">
        <v>74</v>
      </c>
    </row>
    <row r="66" spans="1:2" x14ac:dyDescent="0.35">
      <c r="A66" s="25"/>
      <c r="B66" s="4" t="s">
        <v>75</v>
      </c>
    </row>
    <row r="67" spans="1:2" x14ac:dyDescent="0.35">
      <c r="A67" s="25"/>
      <c r="B67" s="4" t="s">
        <v>76</v>
      </c>
    </row>
    <row r="68" spans="1:2" x14ac:dyDescent="0.35">
      <c r="A68" s="25"/>
      <c r="B68" t="s">
        <v>77</v>
      </c>
    </row>
    <row r="69" spans="1:2" x14ac:dyDescent="0.35">
      <c r="A69" s="25"/>
      <c r="B69" t="s">
        <v>78</v>
      </c>
    </row>
    <row r="70" spans="1:2" x14ac:dyDescent="0.35">
      <c r="A70" s="25"/>
      <c r="B70" t="s">
        <v>79</v>
      </c>
    </row>
    <row r="71" spans="1:2" x14ac:dyDescent="0.35">
      <c r="A71" s="25"/>
      <c r="B71" t="s">
        <v>80</v>
      </c>
    </row>
    <row r="72" spans="1:2" x14ac:dyDescent="0.35">
      <c r="A72" s="25"/>
      <c r="B72" t="s">
        <v>81</v>
      </c>
    </row>
    <row r="73" spans="1:2" x14ac:dyDescent="0.35">
      <c r="A73" s="1" t="s">
        <v>37</v>
      </c>
      <c r="B73" t="s">
        <v>49</v>
      </c>
    </row>
    <row r="74" spans="1:2" x14ac:dyDescent="0.35">
      <c r="A74" s="25" t="s">
        <v>39</v>
      </c>
      <c r="B74" t="s">
        <v>40</v>
      </c>
    </row>
    <row r="75" spans="1:2" x14ac:dyDescent="0.35">
      <c r="A75" s="25"/>
      <c r="B75" s="6" t="s">
        <v>82</v>
      </c>
    </row>
    <row r="76" spans="1:2" x14ac:dyDescent="0.35">
      <c r="A76" s="25"/>
      <c r="B76" t="s">
        <v>83</v>
      </c>
    </row>
    <row r="77" spans="1:2" x14ac:dyDescent="0.35">
      <c r="A77" s="25"/>
      <c r="B77" t="s">
        <v>84</v>
      </c>
    </row>
    <row r="78" spans="1:2" x14ac:dyDescent="0.35">
      <c r="A78" s="25"/>
      <c r="B78" t="s">
        <v>85</v>
      </c>
    </row>
    <row r="79" spans="1:2" x14ac:dyDescent="0.35">
      <c r="A79" s="25"/>
      <c r="B79" t="s">
        <v>86</v>
      </c>
    </row>
    <row r="80" spans="1:2" x14ac:dyDescent="0.35">
      <c r="A80" s="25"/>
      <c r="B80" t="s">
        <v>87</v>
      </c>
    </row>
    <row r="81" spans="1:2" x14ac:dyDescent="0.35">
      <c r="A81" s="25"/>
      <c r="B81" t="s">
        <v>88</v>
      </c>
    </row>
    <row r="82" spans="1:2" x14ac:dyDescent="0.35">
      <c r="A82" s="25"/>
      <c r="B82" t="s">
        <v>89</v>
      </c>
    </row>
    <row r="83" spans="1:2" x14ac:dyDescent="0.35">
      <c r="A83" s="25"/>
      <c r="B83" s="6" t="s">
        <v>99</v>
      </c>
    </row>
    <row r="84" spans="1:2" x14ac:dyDescent="0.35">
      <c r="A84" s="25"/>
      <c r="B84" t="s">
        <v>100</v>
      </c>
    </row>
    <row r="85" spans="1:2" x14ac:dyDescent="0.35">
      <c r="A85" s="25"/>
      <c r="B85" t="s">
        <v>101</v>
      </c>
    </row>
    <row r="86" spans="1:2" x14ac:dyDescent="0.35">
      <c r="A86" s="25"/>
      <c r="B86" t="s">
        <v>102</v>
      </c>
    </row>
    <row r="87" spans="1:2" x14ac:dyDescent="0.35">
      <c r="A87" s="25"/>
      <c r="B87" t="s">
        <v>103</v>
      </c>
    </row>
    <row r="88" spans="1:2" x14ac:dyDescent="0.35">
      <c r="A88" s="25"/>
      <c r="B88" t="s">
        <v>104</v>
      </c>
    </row>
    <row r="89" spans="1:2" x14ac:dyDescent="0.35">
      <c r="A89" s="25"/>
      <c r="B89" t="s">
        <v>105</v>
      </c>
    </row>
    <row r="90" spans="1:2" x14ac:dyDescent="0.35">
      <c r="A90" s="25"/>
      <c r="B90" t="s">
        <v>106</v>
      </c>
    </row>
    <row r="91" spans="1:2" x14ac:dyDescent="0.35">
      <c r="A91" s="25"/>
      <c r="B91" s="6" t="s">
        <v>107</v>
      </c>
    </row>
    <row r="92" spans="1:2" x14ac:dyDescent="0.35">
      <c r="A92" s="25"/>
      <c r="B92" t="s">
        <v>108</v>
      </c>
    </row>
    <row r="93" spans="1:2" x14ac:dyDescent="0.35">
      <c r="A93" s="25"/>
      <c r="B93" t="s">
        <v>109</v>
      </c>
    </row>
    <row r="94" spans="1:2" x14ac:dyDescent="0.35">
      <c r="A94" s="25"/>
      <c r="B94" t="s">
        <v>110</v>
      </c>
    </row>
    <row r="95" spans="1:2" x14ac:dyDescent="0.35">
      <c r="A95" s="25"/>
      <c r="B95" t="s">
        <v>111</v>
      </c>
    </row>
    <row r="96" spans="1:2" x14ac:dyDescent="0.35">
      <c r="A96" s="25"/>
      <c r="B96" t="s">
        <v>112</v>
      </c>
    </row>
    <row r="97" spans="1:2" x14ac:dyDescent="0.35">
      <c r="A97" s="25"/>
      <c r="B97" t="s">
        <v>113</v>
      </c>
    </row>
    <row r="98" spans="1:2" x14ac:dyDescent="0.35">
      <c r="A98" s="25" t="s">
        <v>41</v>
      </c>
      <c r="B98" s="5" t="s">
        <v>90</v>
      </c>
    </row>
    <row r="99" spans="1:2" x14ac:dyDescent="0.35">
      <c r="A99" s="25"/>
      <c r="B99" s="5" t="s">
        <v>91</v>
      </c>
    </row>
    <row r="100" spans="1:2" x14ac:dyDescent="0.35">
      <c r="A100" s="25"/>
      <c r="B100" s="5" t="s">
        <v>92</v>
      </c>
    </row>
    <row r="101" spans="1:2" x14ac:dyDescent="0.35">
      <c r="A101" s="25"/>
      <c r="B101" s="5" t="s">
        <v>93</v>
      </c>
    </row>
    <row r="102" spans="1:2" x14ac:dyDescent="0.35">
      <c r="A102" s="25"/>
      <c r="B102" s="5" t="s">
        <v>95</v>
      </c>
    </row>
    <row r="103" spans="1:2" x14ac:dyDescent="0.35">
      <c r="A103" s="25"/>
      <c r="B103" s="5" t="s">
        <v>96</v>
      </c>
    </row>
    <row r="104" spans="1:2" x14ac:dyDescent="0.35">
      <c r="A104" s="25"/>
      <c r="B104" s="5" t="s">
        <v>97</v>
      </c>
    </row>
    <row r="105" spans="1:2" x14ac:dyDescent="0.35">
      <c r="A105" s="25"/>
      <c r="B105" s="5" t="s">
        <v>98</v>
      </c>
    </row>
    <row r="106" spans="1:2" x14ac:dyDescent="0.35">
      <c r="A106" s="25"/>
      <c r="B106" s="5" t="s">
        <v>94</v>
      </c>
    </row>
    <row r="107" spans="1:2" x14ac:dyDescent="0.35">
      <c r="A107" s="25"/>
      <c r="B107" s="7" t="s">
        <v>114</v>
      </c>
    </row>
    <row r="108" spans="1:2" x14ac:dyDescent="0.35">
      <c r="A108" s="25"/>
      <c r="B108" s="5" t="s">
        <v>115</v>
      </c>
    </row>
    <row r="109" spans="1:2" x14ac:dyDescent="0.35">
      <c r="A109" s="25"/>
      <c r="B109" s="5" t="s">
        <v>116</v>
      </c>
    </row>
    <row r="110" spans="1:2" x14ac:dyDescent="0.35">
      <c r="A110" s="25"/>
      <c r="B110" s="5" t="s">
        <v>117</v>
      </c>
    </row>
    <row r="111" spans="1:2" x14ac:dyDescent="0.35">
      <c r="A111" s="25"/>
      <c r="B111" s="5" t="s">
        <v>100</v>
      </c>
    </row>
    <row r="112" spans="1:2" x14ac:dyDescent="0.35">
      <c r="A112" s="25"/>
      <c r="B112" s="5" t="s">
        <v>118</v>
      </c>
    </row>
    <row r="113" spans="1:2" x14ac:dyDescent="0.35">
      <c r="A113" s="25"/>
      <c r="B113" s="5" t="s">
        <v>119</v>
      </c>
    </row>
    <row r="114" spans="1:2" x14ac:dyDescent="0.35">
      <c r="A114" s="25"/>
      <c r="B114" s="5" t="s">
        <v>120</v>
      </c>
    </row>
    <row r="115" spans="1:2" x14ac:dyDescent="0.35">
      <c r="A115" s="25"/>
      <c r="B115" s="5" t="s">
        <v>121</v>
      </c>
    </row>
    <row r="116" spans="1:2" x14ac:dyDescent="0.35">
      <c r="A116" s="25"/>
      <c r="B116" s="7" t="s">
        <v>122</v>
      </c>
    </row>
    <row r="117" spans="1:2" x14ac:dyDescent="0.35">
      <c r="A117" s="25"/>
      <c r="B117" s="5" t="s">
        <v>123</v>
      </c>
    </row>
    <row r="118" spans="1:2" x14ac:dyDescent="0.35">
      <c r="A118" s="25"/>
      <c r="B118" s="5" t="s">
        <v>124</v>
      </c>
    </row>
    <row r="119" spans="1:2" x14ac:dyDescent="0.35">
      <c r="A119" s="25"/>
      <c r="B119" s="5" t="s">
        <v>125</v>
      </c>
    </row>
    <row r="120" spans="1:2" x14ac:dyDescent="0.35">
      <c r="A120" s="25"/>
      <c r="B120" s="5" t="s">
        <v>126</v>
      </c>
    </row>
    <row r="121" spans="1:2" x14ac:dyDescent="0.35">
      <c r="A121" s="1" t="s">
        <v>42</v>
      </c>
      <c r="B121" s="4" t="s">
        <v>55</v>
      </c>
    </row>
    <row r="122" spans="1:2" x14ac:dyDescent="0.35">
      <c r="A122" s="1" t="s">
        <v>43</v>
      </c>
      <c r="B122" s="4" t="s">
        <v>47</v>
      </c>
    </row>
    <row r="123" spans="1:2" x14ac:dyDescent="0.35">
      <c r="A123" s="1" t="s">
        <v>44</v>
      </c>
      <c r="B123" t="s">
        <v>48</v>
      </c>
    </row>
    <row r="124" spans="1:2" x14ac:dyDescent="0.35">
      <c r="A124" s="1" t="s">
        <v>45</v>
      </c>
      <c r="B124" s="4" t="s">
        <v>127</v>
      </c>
    </row>
    <row r="125" spans="1:2" x14ac:dyDescent="0.35">
      <c r="A125" s="1"/>
      <c r="B125" s="4" t="s">
        <v>128</v>
      </c>
    </row>
    <row r="126" spans="1:2" x14ac:dyDescent="0.35">
      <c r="A126" s="1"/>
      <c r="B126" s="4" t="s">
        <v>129</v>
      </c>
    </row>
    <row r="127" spans="1:2" x14ac:dyDescent="0.35">
      <c r="A127" s="1"/>
      <c r="B127" s="4" t="s">
        <v>130</v>
      </c>
    </row>
    <row r="128" spans="1:2" x14ac:dyDescent="0.35">
      <c r="A128" s="1"/>
      <c r="B128" s="4" t="s">
        <v>131</v>
      </c>
    </row>
    <row r="129" spans="1:2" x14ac:dyDescent="0.35">
      <c r="A129" s="1"/>
      <c r="B129" s="4" t="s">
        <v>132</v>
      </c>
    </row>
    <row r="130" spans="1:2" x14ac:dyDescent="0.35">
      <c r="A130" s="1"/>
      <c r="B130" s="4" t="s">
        <v>93</v>
      </c>
    </row>
    <row r="131" spans="1:2" x14ac:dyDescent="0.35">
      <c r="A131" s="1"/>
      <c r="B131" s="4" t="s">
        <v>133</v>
      </c>
    </row>
    <row r="132" spans="1:2" x14ac:dyDescent="0.35">
      <c r="A132" s="1"/>
      <c r="B132" s="4" t="s">
        <v>134</v>
      </c>
    </row>
    <row r="133" spans="1:2" x14ac:dyDescent="0.35">
      <c r="A133" s="1"/>
      <c r="B133" s="4" t="s">
        <v>135</v>
      </c>
    </row>
    <row r="134" spans="1:2" x14ac:dyDescent="0.35">
      <c r="A134" s="1"/>
      <c r="B134" s="4" t="s">
        <v>136</v>
      </c>
    </row>
    <row r="135" spans="1:2" x14ac:dyDescent="0.35">
      <c r="A135" s="1"/>
      <c r="B135" s="4" t="s">
        <v>137</v>
      </c>
    </row>
    <row r="136" spans="1:2" x14ac:dyDescent="0.35">
      <c r="A136" s="1" t="s">
        <v>46</v>
      </c>
      <c r="B136" s="4" t="s">
        <v>138</v>
      </c>
    </row>
    <row r="137" spans="1:2" x14ac:dyDescent="0.35">
      <c r="A137" s="1" t="s">
        <v>51</v>
      </c>
    </row>
    <row r="138" spans="1:2" ht="101.5" x14ac:dyDescent="0.35">
      <c r="A138" s="14" t="s">
        <v>291</v>
      </c>
      <c r="B138" s="15" t="s">
        <v>290</v>
      </c>
    </row>
    <row r="139" spans="1:2" x14ac:dyDescent="0.35">
      <c r="A139" s="1" t="s">
        <v>53</v>
      </c>
      <c r="B139" t="s">
        <v>54</v>
      </c>
    </row>
    <row r="140" spans="1:2" x14ac:dyDescent="0.35">
      <c r="A140" s="1" t="s">
        <v>162</v>
      </c>
      <c r="B140" t="s">
        <v>140</v>
      </c>
    </row>
    <row r="141" spans="1:2" x14ac:dyDescent="0.35">
      <c r="A141" s="1" t="s">
        <v>141</v>
      </c>
      <c r="B141" t="s">
        <v>142</v>
      </c>
    </row>
    <row r="142" spans="1:2" x14ac:dyDescent="0.35">
      <c r="A142" s="1" t="s">
        <v>143</v>
      </c>
      <c r="B142" t="s">
        <v>144</v>
      </c>
    </row>
    <row r="143" spans="1:2" x14ac:dyDescent="0.35">
      <c r="A143" s="1" t="s">
        <v>154</v>
      </c>
    </row>
    <row r="144" spans="1:2" x14ac:dyDescent="0.35">
      <c r="A144" s="1" t="s">
        <v>155</v>
      </c>
    </row>
    <row r="145" spans="1:2" x14ac:dyDescent="0.35">
      <c r="A145" s="1" t="s">
        <v>156</v>
      </c>
    </row>
    <row r="146" spans="1:2" x14ac:dyDescent="0.35">
      <c r="A146" s="1" t="s">
        <v>157</v>
      </c>
    </row>
    <row r="147" spans="1:2" x14ac:dyDescent="0.35">
      <c r="A147" s="1" t="s">
        <v>158</v>
      </c>
    </row>
    <row r="148" spans="1:2" x14ac:dyDescent="0.35">
      <c r="A148" s="1" t="s">
        <v>159</v>
      </c>
    </row>
    <row r="149" spans="1:2" x14ac:dyDescent="0.35">
      <c r="A149" s="1" t="s">
        <v>160</v>
      </c>
    </row>
    <row r="150" spans="1:2" x14ac:dyDescent="0.35">
      <c r="A150" s="1" t="s">
        <v>161</v>
      </c>
    </row>
    <row r="151" spans="1:2" x14ac:dyDescent="0.35">
      <c r="A151" s="1"/>
    </row>
    <row r="154" spans="1:2" x14ac:dyDescent="0.35">
      <c r="A154" s="26" t="s">
        <v>14</v>
      </c>
      <c r="B154" s="3" t="s">
        <v>3</v>
      </c>
    </row>
    <row r="155" spans="1:2" x14ac:dyDescent="0.35">
      <c r="A155" s="26"/>
      <c r="B155" s="3" t="s">
        <v>4</v>
      </c>
    </row>
    <row r="156" spans="1:2" x14ac:dyDescent="0.35">
      <c r="A156" s="26"/>
      <c r="B156" s="3" t="s">
        <v>5</v>
      </c>
    </row>
    <row r="157" spans="1:2" x14ac:dyDescent="0.35">
      <c r="A157" s="26"/>
      <c r="B157" s="3" t="s">
        <v>6</v>
      </c>
    </row>
    <row r="158" spans="1:2" x14ac:dyDescent="0.35">
      <c r="A158" s="26"/>
      <c r="B158" s="3" t="s">
        <v>28</v>
      </c>
    </row>
    <row r="159" spans="1:2" x14ac:dyDescent="0.35">
      <c r="A159" s="25" t="s">
        <v>25</v>
      </c>
      <c r="B159" t="s">
        <v>3</v>
      </c>
    </row>
    <row r="160" spans="1:2" x14ac:dyDescent="0.35">
      <c r="A160" s="25"/>
      <c r="B160" t="s">
        <v>4</v>
      </c>
    </row>
    <row r="161" spans="1:2" x14ac:dyDescent="0.35">
      <c r="A161" s="25"/>
      <c r="B161" t="s">
        <v>5</v>
      </c>
    </row>
    <row r="162" spans="1:2" x14ac:dyDescent="0.35">
      <c r="A162" s="25"/>
      <c r="B162" t="s">
        <v>6</v>
      </c>
    </row>
    <row r="163" spans="1:2" x14ac:dyDescent="0.35">
      <c r="A163" s="25"/>
      <c r="B163" t="s">
        <v>28</v>
      </c>
    </row>
    <row r="164" spans="1:2" x14ac:dyDescent="0.35">
      <c r="A164" s="26" t="s">
        <v>26</v>
      </c>
      <c r="B164" s="3" t="s">
        <v>3</v>
      </c>
    </row>
    <row r="165" spans="1:2" x14ac:dyDescent="0.35">
      <c r="A165" s="26"/>
      <c r="B165" s="3" t="s">
        <v>4</v>
      </c>
    </row>
    <row r="166" spans="1:2" x14ac:dyDescent="0.35">
      <c r="A166" s="26"/>
      <c r="B166" s="3" t="s">
        <v>5</v>
      </c>
    </row>
    <row r="167" spans="1:2" x14ac:dyDescent="0.35">
      <c r="A167" s="26"/>
      <c r="B167" s="3" t="s">
        <v>6</v>
      </c>
    </row>
    <row r="168" spans="1:2" x14ac:dyDescent="0.35">
      <c r="A168" s="26"/>
      <c r="B168" s="3" t="s">
        <v>28</v>
      </c>
    </row>
    <row r="169" spans="1:2" x14ac:dyDescent="0.35">
      <c r="A169" s="25" t="s">
        <v>15</v>
      </c>
      <c r="B169" t="s">
        <v>36</v>
      </c>
    </row>
    <row r="170" spans="1:2" x14ac:dyDescent="0.35">
      <c r="A170" s="25"/>
      <c r="B170" t="s">
        <v>29</v>
      </c>
    </row>
    <row r="171" spans="1:2" x14ac:dyDescent="0.35">
      <c r="A171" s="25"/>
      <c r="B171" t="s">
        <v>30</v>
      </c>
    </row>
    <row r="172" spans="1:2" x14ac:dyDescent="0.35">
      <c r="A172" s="25"/>
      <c r="B172" t="s">
        <v>31</v>
      </c>
    </row>
    <row r="173" spans="1:2" x14ac:dyDescent="0.35">
      <c r="A173" s="25"/>
      <c r="B173" t="s">
        <v>32</v>
      </c>
    </row>
    <row r="174" spans="1:2" x14ac:dyDescent="0.35">
      <c r="A174" s="25"/>
      <c r="B174" t="s">
        <v>33</v>
      </c>
    </row>
    <row r="175" spans="1:2" x14ac:dyDescent="0.35">
      <c r="A175" s="25"/>
      <c r="B175" t="s">
        <v>3</v>
      </c>
    </row>
    <row r="176" spans="1:2" x14ac:dyDescent="0.35">
      <c r="A176" s="25"/>
      <c r="B176" t="s">
        <v>4</v>
      </c>
    </row>
    <row r="177" spans="1:2" x14ac:dyDescent="0.35">
      <c r="A177" s="25"/>
      <c r="B177" t="s">
        <v>5</v>
      </c>
    </row>
    <row r="178" spans="1:2" x14ac:dyDescent="0.35">
      <c r="A178" s="25"/>
      <c r="B178" t="s">
        <v>6</v>
      </c>
    </row>
    <row r="179" spans="1:2" x14ac:dyDescent="0.35">
      <c r="A179" s="25"/>
      <c r="B179" t="s">
        <v>34</v>
      </c>
    </row>
    <row r="180" spans="1:2" x14ac:dyDescent="0.35">
      <c r="A180" s="25"/>
      <c r="B180" t="s">
        <v>35</v>
      </c>
    </row>
    <row r="181" spans="1:2" x14ac:dyDescent="0.35">
      <c r="A181" s="26" t="s">
        <v>27</v>
      </c>
      <c r="B181" s="3" t="s">
        <v>7</v>
      </c>
    </row>
    <row r="182" spans="1:2" x14ac:dyDescent="0.35">
      <c r="A182" s="26"/>
      <c r="B182" s="3" t="s">
        <v>8</v>
      </c>
    </row>
    <row r="183" spans="1:2" x14ac:dyDescent="0.35">
      <c r="A183" s="26"/>
      <c r="B183" s="3" t="s">
        <v>13</v>
      </c>
    </row>
    <row r="184" spans="1:2" x14ac:dyDescent="0.35">
      <c r="A184" s="25" t="s">
        <v>52</v>
      </c>
      <c r="B184" t="s">
        <v>9</v>
      </c>
    </row>
    <row r="185" spans="1:2" x14ac:dyDescent="0.35">
      <c r="A185" s="25"/>
      <c r="B185" t="s">
        <v>10</v>
      </c>
    </row>
    <row r="186" spans="1:2" x14ac:dyDescent="0.35">
      <c r="A186" s="25"/>
      <c r="B186" t="s">
        <v>11</v>
      </c>
    </row>
    <row r="187" spans="1:2" x14ac:dyDescent="0.35">
      <c r="A187" s="25"/>
      <c r="B187" t="s">
        <v>12</v>
      </c>
    </row>
    <row r="188" spans="1:2" x14ac:dyDescent="0.35">
      <c r="A188" s="2" t="s">
        <v>50</v>
      </c>
      <c r="B188" s="3"/>
    </row>
    <row r="189" spans="1:2" x14ac:dyDescent="0.35">
      <c r="A189" s="25" t="s">
        <v>0</v>
      </c>
      <c r="B189" s="4" t="s">
        <v>56</v>
      </c>
    </row>
    <row r="190" spans="1:2" x14ac:dyDescent="0.35">
      <c r="A190" s="25"/>
      <c r="B190" s="4" t="s">
        <v>57</v>
      </c>
    </row>
    <row r="191" spans="1:2" x14ac:dyDescent="0.35">
      <c r="A191" s="25" t="s">
        <v>38</v>
      </c>
      <c r="B191" s="4" t="s">
        <v>58</v>
      </c>
    </row>
    <row r="192" spans="1:2" x14ac:dyDescent="0.35">
      <c r="A192" s="25"/>
      <c r="B192" s="4" t="s">
        <v>59</v>
      </c>
    </row>
    <row r="193" spans="1:2" x14ac:dyDescent="0.35">
      <c r="A193" s="25"/>
      <c r="B193" s="4" t="s">
        <v>60</v>
      </c>
    </row>
    <row r="194" spans="1:2" x14ac:dyDescent="0.35">
      <c r="A194" s="25"/>
      <c r="B194" s="4" t="s">
        <v>61</v>
      </c>
    </row>
    <row r="195" spans="1:2" x14ac:dyDescent="0.35">
      <c r="A195" s="25"/>
      <c r="B195" s="4" t="s">
        <v>62</v>
      </c>
    </row>
    <row r="196" spans="1:2" x14ac:dyDescent="0.35">
      <c r="A196" s="25"/>
      <c r="B196" s="4" t="s">
        <v>63</v>
      </c>
    </row>
    <row r="197" spans="1:2" x14ac:dyDescent="0.35">
      <c r="A197" s="25"/>
      <c r="B197" s="4" t="s">
        <v>64</v>
      </c>
    </row>
    <row r="198" spans="1:2" x14ac:dyDescent="0.35">
      <c r="A198" s="25"/>
      <c r="B198" s="4" t="s">
        <v>65</v>
      </c>
    </row>
    <row r="199" spans="1:2" x14ac:dyDescent="0.35">
      <c r="A199" s="25"/>
      <c r="B199" s="4" t="s">
        <v>66</v>
      </c>
    </row>
    <row r="200" spans="1:2" x14ac:dyDescent="0.35">
      <c r="A200" s="25"/>
      <c r="B200" s="4" t="s">
        <v>67</v>
      </c>
    </row>
    <row r="201" spans="1:2" x14ac:dyDescent="0.35">
      <c r="A201" s="25"/>
      <c r="B201" s="4" t="s">
        <v>68</v>
      </c>
    </row>
    <row r="202" spans="1:2" x14ac:dyDescent="0.35">
      <c r="A202" s="25"/>
      <c r="B202" s="4" t="s">
        <v>69</v>
      </c>
    </row>
    <row r="203" spans="1:2" x14ac:dyDescent="0.35">
      <c r="A203" s="25"/>
      <c r="B203" s="4" t="s">
        <v>70</v>
      </c>
    </row>
    <row r="204" spans="1:2" x14ac:dyDescent="0.35">
      <c r="A204" s="25"/>
      <c r="B204" s="4" t="s">
        <v>71</v>
      </c>
    </row>
    <row r="205" spans="1:2" x14ac:dyDescent="0.35">
      <c r="A205" s="25"/>
      <c r="B205" s="4" t="s">
        <v>72</v>
      </c>
    </row>
    <row r="206" spans="1:2" x14ac:dyDescent="0.35">
      <c r="A206" s="25"/>
      <c r="B206" s="4" t="s">
        <v>73</v>
      </c>
    </row>
    <row r="207" spans="1:2" x14ac:dyDescent="0.35">
      <c r="A207" s="25"/>
      <c r="B207" s="4" t="s">
        <v>74</v>
      </c>
    </row>
    <row r="208" spans="1:2" x14ac:dyDescent="0.35">
      <c r="A208" s="25"/>
      <c r="B208" s="4" t="s">
        <v>75</v>
      </c>
    </row>
    <row r="209" spans="1:2" x14ac:dyDescent="0.35">
      <c r="A209" s="25"/>
      <c r="B209" s="4" t="s">
        <v>76</v>
      </c>
    </row>
    <row r="210" spans="1:2" x14ac:dyDescent="0.35">
      <c r="A210" s="25"/>
      <c r="B210" t="s">
        <v>77</v>
      </c>
    </row>
    <row r="211" spans="1:2" x14ac:dyDescent="0.35">
      <c r="A211" s="25"/>
      <c r="B211" t="s">
        <v>78</v>
      </c>
    </row>
    <row r="212" spans="1:2" x14ac:dyDescent="0.35">
      <c r="A212" s="25"/>
      <c r="B212" t="s">
        <v>79</v>
      </c>
    </row>
    <row r="213" spans="1:2" x14ac:dyDescent="0.35">
      <c r="A213" s="25"/>
      <c r="B213" t="s">
        <v>80</v>
      </c>
    </row>
    <row r="214" spans="1:2" x14ac:dyDescent="0.35">
      <c r="A214" s="25"/>
      <c r="B214" t="s">
        <v>81</v>
      </c>
    </row>
    <row r="215" spans="1:2" ht="101.5" x14ac:dyDescent="0.35">
      <c r="A215" s="12" t="s">
        <v>304</v>
      </c>
      <c r="B215" s="15" t="s">
        <v>303</v>
      </c>
    </row>
    <row r="216" spans="1:2" x14ac:dyDescent="0.35">
      <c r="A216" s="25" t="s">
        <v>39</v>
      </c>
      <c r="B216" t="s">
        <v>40</v>
      </c>
    </row>
    <row r="217" spans="1:2" x14ac:dyDescent="0.35">
      <c r="A217" s="25"/>
      <c r="B217" s="6" t="s">
        <v>82</v>
      </c>
    </row>
    <row r="218" spans="1:2" x14ac:dyDescent="0.35">
      <c r="A218" s="25"/>
      <c r="B218" t="s">
        <v>83</v>
      </c>
    </row>
    <row r="219" spans="1:2" x14ac:dyDescent="0.35">
      <c r="A219" s="25"/>
      <c r="B219" t="s">
        <v>84</v>
      </c>
    </row>
    <row r="220" spans="1:2" x14ac:dyDescent="0.35">
      <c r="A220" s="25"/>
      <c r="B220" t="s">
        <v>85</v>
      </c>
    </row>
    <row r="221" spans="1:2" x14ac:dyDescent="0.35">
      <c r="A221" s="25"/>
      <c r="B221" t="s">
        <v>86</v>
      </c>
    </row>
    <row r="222" spans="1:2" x14ac:dyDescent="0.35">
      <c r="A222" s="25"/>
      <c r="B222" t="s">
        <v>87</v>
      </c>
    </row>
    <row r="223" spans="1:2" x14ac:dyDescent="0.35">
      <c r="A223" s="25"/>
      <c r="B223" t="s">
        <v>88</v>
      </c>
    </row>
    <row r="224" spans="1:2" x14ac:dyDescent="0.35">
      <c r="A224" s="25"/>
      <c r="B224" t="s">
        <v>89</v>
      </c>
    </row>
    <row r="225" spans="1:2" x14ac:dyDescent="0.35">
      <c r="A225" s="25"/>
      <c r="B225" s="6" t="s">
        <v>99</v>
      </c>
    </row>
    <row r="226" spans="1:2" x14ac:dyDescent="0.35">
      <c r="A226" s="25"/>
      <c r="B226" t="s">
        <v>100</v>
      </c>
    </row>
    <row r="227" spans="1:2" x14ac:dyDescent="0.35">
      <c r="A227" s="25"/>
      <c r="B227" t="s">
        <v>101</v>
      </c>
    </row>
    <row r="228" spans="1:2" x14ac:dyDescent="0.35">
      <c r="A228" s="25"/>
      <c r="B228" t="s">
        <v>102</v>
      </c>
    </row>
    <row r="229" spans="1:2" x14ac:dyDescent="0.35">
      <c r="A229" s="25"/>
      <c r="B229" t="s">
        <v>103</v>
      </c>
    </row>
    <row r="230" spans="1:2" x14ac:dyDescent="0.35">
      <c r="A230" s="25"/>
      <c r="B230" t="s">
        <v>104</v>
      </c>
    </row>
    <row r="231" spans="1:2" x14ac:dyDescent="0.35">
      <c r="A231" s="25"/>
      <c r="B231" t="s">
        <v>105</v>
      </c>
    </row>
    <row r="232" spans="1:2" x14ac:dyDescent="0.35">
      <c r="A232" s="25"/>
      <c r="B232" t="s">
        <v>106</v>
      </c>
    </row>
    <row r="233" spans="1:2" x14ac:dyDescent="0.35">
      <c r="A233" s="25"/>
      <c r="B233" s="6" t="s">
        <v>107</v>
      </c>
    </row>
    <row r="234" spans="1:2" x14ac:dyDescent="0.35">
      <c r="A234" s="25"/>
      <c r="B234" t="s">
        <v>108</v>
      </c>
    </row>
    <row r="235" spans="1:2" x14ac:dyDescent="0.35">
      <c r="A235" s="25"/>
      <c r="B235" t="s">
        <v>109</v>
      </c>
    </row>
    <row r="236" spans="1:2" x14ac:dyDescent="0.35">
      <c r="A236" s="25"/>
      <c r="B236" t="s">
        <v>110</v>
      </c>
    </row>
    <row r="237" spans="1:2" x14ac:dyDescent="0.35">
      <c r="A237" s="25"/>
      <c r="B237" t="s">
        <v>111</v>
      </c>
    </row>
    <row r="238" spans="1:2" x14ac:dyDescent="0.35">
      <c r="A238" s="25"/>
      <c r="B238" t="s">
        <v>112</v>
      </c>
    </row>
    <row r="239" spans="1:2" x14ac:dyDescent="0.35">
      <c r="A239" s="25"/>
      <c r="B239" t="s">
        <v>113</v>
      </c>
    </row>
    <row r="240" spans="1:2" x14ac:dyDescent="0.35">
      <c r="A240" s="25" t="s">
        <v>41</v>
      </c>
      <c r="B240" s="5" t="s">
        <v>90</v>
      </c>
    </row>
    <row r="241" spans="1:2" x14ac:dyDescent="0.35">
      <c r="A241" s="25"/>
      <c r="B241" s="5" t="s">
        <v>91</v>
      </c>
    </row>
    <row r="242" spans="1:2" x14ac:dyDescent="0.35">
      <c r="A242" s="25"/>
      <c r="B242" s="5" t="s">
        <v>92</v>
      </c>
    </row>
    <row r="243" spans="1:2" x14ac:dyDescent="0.35">
      <c r="A243" s="25"/>
      <c r="B243" s="5" t="s">
        <v>93</v>
      </c>
    </row>
    <row r="244" spans="1:2" x14ac:dyDescent="0.35">
      <c r="A244" s="25"/>
      <c r="B244" s="5" t="s">
        <v>95</v>
      </c>
    </row>
    <row r="245" spans="1:2" x14ac:dyDescent="0.35">
      <c r="A245" s="25"/>
      <c r="B245" s="5" t="s">
        <v>96</v>
      </c>
    </row>
    <row r="246" spans="1:2" x14ac:dyDescent="0.35">
      <c r="A246" s="25"/>
      <c r="B246" s="5" t="s">
        <v>97</v>
      </c>
    </row>
    <row r="247" spans="1:2" x14ac:dyDescent="0.35">
      <c r="A247" s="25"/>
      <c r="B247" s="5" t="s">
        <v>98</v>
      </c>
    </row>
    <row r="248" spans="1:2" x14ac:dyDescent="0.35">
      <c r="A248" s="25"/>
      <c r="B248" s="5" t="s">
        <v>94</v>
      </c>
    </row>
    <row r="249" spans="1:2" x14ac:dyDescent="0.35">
      <c r="A249" s="25"/>
      <c r="B249" s="7" t="s">
        <v>114</v>
      </c>
    </row>
    <row r="250" spans="1:2" x14ac:dyDescent="0.35">
      <c r="A250" s="25"/>
      <c r="B250" s="5" t="s">
        <v>115</v>
      </c>
    </row>
    <row r="251" spans="1:2" x14ac:dyDescent="0.35">
      <c r="A251" s="25"/>
      <c r="B251" s="5" t="s">
        <v>116</v>
      </c>
    </row>
    <row r="252" spans="1:2" x14ac:dyDescent="0.35">
      <c r="A252" s="25"/>
      <c r="B252" s="5" t="s">
        <v>117</v>
      </c>
    </row>
    <row r="253" spans="1:2" x14ac:dyDescent="0.35">
      <c r="A253" s="25"/>
      <c r="B253" s="5" t="s">
        <v>100</v>
      </c>
    </row>
    <row r="254" spans="1:2" x14ac:dyDescent="0.35">
      <c r="A254" s="25"/>
      <c r="B254" s="5" t="s">
        <v>118</v>
      </c>
    </row>
    <row r="255" spans="1:2" x14ac:dyDescent="0.35">
      <c r="A255" s="25"/>
      <c r="B255" s="5" t="s">
        <v>119</v>
      </c>
    </row>
    <row r="256" spans="1:2" x14ac:dyDescent="0.35">
      <c r="A256" s="25"/>
      <c r="B256" s="5" t="s">
        <v>120</v>
      </c>
    </row>
    <row r="257" spans="1:2" x14ac:dyDescent="0.35">
      <c r="A257" s="25"/>
      <c r="B257" s="5" t="s">
        <v>121</v>
      </c>
    </row>
    <row r="258" spans="1:2" x14ac:dyDescent="0.35">
      <c r="A258" s="25"/>
      <c r="B258" s="7" t="s">
        <v>122</v>
      </c>
    </row>
    <row r="259" spans="1:2" x14ac:dyDescent="0.35">
      <c r="A259" s="25"/>
      <c r="B259" s="5" t="s">
        <v>123</v>
      </c>
    </row>
    <row r="260" spans="1:2" x14ac:dyDescent="0.35">
      <c r="A260" s="25"/>
      <c r="B260" s="5" t="s">
        <v>124</v>
      </c>
    </row>
    <row r="261" spans="1:2" x14ac:dyDescent="0.35">
      <c r="A261" s="25"/>
      <c r="B261" s="5" t="s">
        <v>125</v>
      </c>
    </row>
    <row r="262" spans="1:2" x14ac:dyDescent="0.35">
      <c r="A262" s="25"/>
      <c r="B262" s="5" t="s">
        <v>126</v>
      </c>
    </row>
    <row r="263" spans="1:2" x14ac:dyDescent="0.35">
      <c r="A263" s="1" t="s">
        <v>42</v>
      </c>
      <c r="B263" s="4" t="s">
        <v>55</v>
      </c>
    </row>
    <row r="264" spans="1:2" x14ac:dyDescent="0.35">
      <c r="A264" s="1" t="s">
        <v>43</v>
      </c>
      <c r="B264" s="4" t="s">
        <v>47</v>
      </c>
    </row>
    <row r="265" spans="1:2" x14ac:dyDescent="0.35">
      <c r="A265" s="1" t="s">
        <v>44</v>
      </c>
      <c r="B265" t="s">
        <v>48</v>
      </c>
    </row>
    <row r="266" spans="1:2" x14ac:dyDescent="0.35">
      <c r="A266" s="1" t="s">
        <v>45</v>
      </c>
      <c r="B266" s="4" t="s">
        <v>127</v>
      </c>
    </row>
    <row r="267" spans="1:2" x14ac:dyDescent="0.35">
      <c r="A267" s="1"/>
      <c r="B267" s="4" t="s">
        <v>128</v>
      </c>
    </row>
    <row r="268" spans="1:2" x14ac:dyDescent="0.35">
      <c r="A268" s="1"/>
      <c r="B268" s="4" t="s">
        <v>129</v>
      </c>
    </row>
    <row r="269" spans="1:2" x14ac:dyDescent="0.35">
      <c r="A269" s="1"/>
      <c r="B269" s="4" t="s">
        <v>130</v>
      </c>
    </row>
    <row r="270" spans="1:2" x14ac:dyDescent="0.35">
      <c r="A270" s="1"/>
      <c r="B270" s="4" t="s">
        <v>131</v>
      </c>
    </row>
    <row r="271" spans="1:2" x14ac:dyDescent="0.35">
      <c r="A271" s="1"/>
      <c r="B271" s="4" t="s">
        <v>132</v>
      </c>
    </row>
    <row r="272" spans="1:2" x14ac:dyDescent="0.35">
      <c r="A272" s="1"/>
      <c r="B272" s="4" t="s">
        <v>93</v>
      </c>
    </row>
    <row r="273" spans="1:2" x14ac:dyDescent="0.35">
      <c r="A273" s="1"/>
      <c r="B273" s="4" t="s">
        <v>133</v>
      </c>
    </row>
    <row r="274" spans="1:2" x14ac:dyDescent="0.35">
      <c r="A274" s="1"/>
      <c r="B274" s="4" t="s">
        <v>134</v>
      </c>
    </row>
    <row r="275" spans="1:2" x14ac:dyDescent="0.35">
      <c r="A275" s="1"/>
      <c r="B275" s="4" t="s">
        <v>135</v>
      </c>
    </row>
    <row r="276" spans="1:2" x14ac:dyDescent="0.35">
      <c r="A276" s="1"/>
      <c r="B276" s="4" t="s">
        <v>136</v>
      </c>
    </row>
    <row r="277" spans="1:2" x14ac:dyDescent="0.35">
      <c r="A277" s="1"/>
      <c r="B277" s="4" t="s">
        <v>137</v>
      </c>
    </row>
    <row r="278" spans="1:2" x14ac:dyDescent="0.35">
      <c r="A278" s="1" t="s">
        <v>46</v>
      </c>
      <c r="B278" s="4" t="s">
        <v>138</v>
      </c>
    </row>
    <row r="279" spans="1:2" x14ac:dyDescent="0.35">
      <c r="A279" s="1" t="s">
        <v>51</v>
      </c>
    </row>
    <row r="280" spans="1:2" ht="116" x14ac:dyDescent="0.35">
      <c r="A280" s="14" t="s">
        <v>225</v>
      </c>
      <c r="B280" s="15" t="s">
        <v>292</v>
      </c>
    </row>
    <row r="281" spans="1:2" ht="116" x14ac:dyDescent="0.35">
      <c r="A281" s="14" t="s">
        <v>296</v>
      </c>
      <c r="B281" s="15" t="s">
        <v>295</v>
      </c>
    </row>
    <row r="282" spans="1:2" x14ac:dyDescent="0.35">
      <c r="A282" s="1" t="s">
        <v>139</v>
      </c>
      <c r="B282" t="s">
        <v>140</v>
      </c>
    </row>
    <row r="283" spans="1:2" x14ac:dyDescent="0.35">
      <c r="A283" s="1" t="s">
        <v>141</v>
      </c>
      <c r="B283" t="s">
        <v>142</v>
      </c>
    </row>
    <row r="284" spans="1:2" ht="130.5" x14ac:dyDescent="0.35">
      <c r="A284" s="14" t="s">
        <v>229</v>
      </c>
      <c r="B284" s="15" t="s">
        <v>293</v>
      </c>
    </row>
    <row r="285" spans="1:2" ht="87" x14ac:dyDescent="0.35">
      <c r="A285" s="14" t="s">
        <v>227</v>
      </c>
      <c r="B285" s="15" t="s">
        <v>294</v>
      </c>
    </row>
    <row r="286" spans="1:2" ht="130.5" x14ac:dyDescent="0.35">
      <c r="A286" s="14" t="s">
        <v>226</v>
      </c>
      <c r="B286" s="15" t="s">
        <v>297</v>
      </c>
    </row>
    <row r="287" spans="1:2" ht="145" x14ac:dyDescent="0.35">
      <c r="A287" s="14" t="s">
        <v>223</v>
      </c>
      <c r="B287" s="15" t="s">
        <v>298</v>
      </c>
    </row>
    <row r="288" spans="1:2" ht="101.5" x14ac:dyDescent="0.35">
      <c r="A288" s="14" t="s">
        <v>233</v>
      </c>
      <c r="B288" s="15" t="s">
        <v>299</v>
      </c>
    </row>
    <row r="289" spans="1:4" ht="116" x14ac:dyDescent="0.35">
      <c r="A289" s="14" t="s">
        <v>232</v>
      </c>
      <c r="B289" s="15" t="s">
        <v>300</v>
      </c>
    </row>
    <row r="290" spans="1:4" ht="101.5" x14ac:dyDescent="0.35">
      <c r="A290" s="14" t="s">
        <v>143</v>
      </c>
      <c r="B290" s="15" t="s">
        <v>301</v>
      </c>
    </row>
    <row r="291" spans="1:4" ht="87" x14ac:dyDescent="0.35">
      <c r="A291" s="12" t="s">
        <v>14</v>
      </c>
      <c r="B291" s="15" t="s">
        <v>302</v>
      </c>
    </row>
    <row r="292" spans="1:4" ht="101.5" x14ac:dyDescent="0.35">
      <c r="A292" s="14" t="s">
        <v>245</v>
      </c>
      <c r="B292" s="15" t="s">
        <v>305</v>
      </c>
      <c r="C292" s="16"/>
      <c r="D292" s="16"/>
    </row>
    <row r="293" spans="1:4" ht="87" x14ac:dyDescent="0.35">
      <c r="A293" s="12" t="s">
        <v>50</v>
      </c>
      <c r="B293" s="15" t="s">
        <v>306</v>
      </c>
      <c r="C293" s="17"/>
      <c r="D293" s="17"/>
    </row>
    <row r="294" spans="1:4" ht="87" x14ac:dyDescent="0.35">
      <c r="A294" s="12" t="s">
        <v>218</v>
      </c>
      <c r="B294" s="15" t="s">
        <v>307</v>
      </c>
      <c r="C294" s="17"/>
      <c r="D294" s="17"/>
    </row>
    <row r="295" spans="1:4" ht="87" x14ac:dyDescent="0.35">
      <c r="A295" s="12" t="s">
        <v>51</v>
      </c>
      <c r="B295" s="15" t="s">
        <v>308</v>
      </c>
    </row>
    <row r="296" spans="1:4" ht="87" x14ac:dyDescent="0.35">
      <c r="A296" s="12" t="s">
        <v>15</v>
      </c>
      <c r="B296" s="15" t="s">
        <v>309</v>
      </c>
    </row>
    <row r="297" spans="1:4" ht="101.5" x14ac:dyDescent="0.35">
      <c r="A297" s="12" t="s">
        <v>213</v>
      </c>
      <c r="B297" s="15" t="s">
        <v>310</v>
      </c>
    </row>
    <row r="298" spans="1:4" ht="101.5" x14ac:dyDescent="0.35">
      <c r="A298" s="12" t="s">
        <v>212</v>
      </c>
      <c r="B298" s="15" t="s">
        <v>311</v>
      </c>
    </row>
    <row r="299" spans="1:4" ht="64" customHeight="1" x14ac:dyDescent="0.35">
      <c r="A299" s="12" t="s">
        <v>219</v>
      </c>
      <c r="B299" s="15" t="s">
        <v>312</v>
      </c>
    </row>
    <row r="300" spans="1:4" ht="101.5" x14ac:dyDescent="0.35">
      <c r="A300" s="12" t="s">
        <v>220</v>
      </c>
      <c r="B300" s="15" t="s">
        <v>313</v>
      </c>
    </row>
    <row r="301" spans="1:4" ht="87" x14ac:dyDescent="0.35">
      <c r="A301" s="14" t="s">
        <v>231</v>
      </c>
      <c r="B301" s="15" t="s">
        <v>314</v>
      </c>
    </row>
    <row r="302" spans="1:4" ht="87" x14ac:dyDescent="0.35">
      <c r="A302" s="12" t="s">
        <v>217</v>
      </c>
      <c r="B302" s="15" t="s">
        <v>315</v>
      </c>
    </row>
    <row r="303" spans="1:4" ht="87" x14ac:dyDescent="0.35">
      <c r="A303" s="14" t="s">
        <v>240</v>
      </c>
      <c r="B303" s="15" t="s">
        <v>316</v>
      </c>
    </row>
    <row r="304" spans="1:4" ht="87" x14ac:dyDescent="0.35">
      <c r="A304" s="14" t="s">
        <v>237</v>
      </c>
      <c r="B304" s="15" t="s">
        <v>317</v>
      </c>
      <c r="C304" s="16"/>
      <c r="D304" s="16"/>
    </row>
    <row r="305" spans="1:4" ht="87" x14ac:dyDescent="0.35">
      <c r="A305" s="14" t="s">
        <v>236</v>
      </c>
      <c r="B305" s="15" t="s">
        <v>318</v>
      </c>
      <c r="C305" s="17"/>
      <c r="D305" s="17"/>
    </row>
    <row r="306" spans="1:4" ht="72.5" x14ac:dyDescent="0.35">
      <c r="A306" s="14" t="s">
        <v>234</v>
      </c>
      <c r="B306" s="15" t="s">
        <v>319</v>
      </c>
      <c r="C306" s="17"/>
      <c r="D306" s="17"/>
    </row>
    <row r="307" spans="1:4" ht="87" x14ac:dyDescent="0.35">
      <c r="A307" s="14" t="s">
        <v>243</v>
      </c>
      <c r="B307" s="15" t="s">
        <v>320</v>
      </c>
      <c r="C307" s="17"/>
      <c r="D307" s="17"/>
    </row>
    <row r="308" spans="1:4" ht="87" x14ac:dyDescent="0.35">
      <c r="A308" s="12" t="s">
        <v>215</v>
      </c>
      <c r="B308" s="15" t="s">
        <v>321</v>
      </c>
      <c r="C308" s="17"/>
      <c r="D308" s="17"/>
    </row>
    <row r="309" spans="1:4" ht="130.5" x14ac:dyDescent="0.35">
      <c r="A309" s="14" t="s">
        <v>230</v>
      </c>
      <c r="B309" s="15" t="s">
        <v>322</v>
      </c>
      <c r="C309" s="17"/>
      <c r="D309" s="17"/>
    </row>
    <row r="310" spans="1:4" ht="72.5" x14ac:dyDescent="0.35">
      <c r="A310" s="12" t="s">
        <v>224</v>
      </c>
      <c r="B310" s="15" t="s">
        <v>323</v>
      </c>
      <c r="C310" s="17"/>
      <c r="D310" s="17"/>
    </row>
    <row r="311" spans="1:4" ht="72.5" x14ac:dyDescent="0.35">
      <c r="A311" s="12" t="s">
        <v>41</v>
      </c>
      <c r="B311" s="15" t="s">
        <v>324</v>
      </c>
      <c r="C311" s="17"/>
      <c r="D311" s="17"/>
    </row>
    <row r="312" spans="1:4" ht="72.5" x14ac:dyDescent="0.35">
      <c r="A312" s="12" t="s">
        <v>221</v>
      </c>
      <c r="B312" s="18" t="s">
        <v>325</v>
      </c>
      <c r="C312" s="17"/>
      <c r="D312" s="17"/>
    </row>
    <row r="313" spans="1:4" ht="58" x14ac:dyDescent="0.35">
      <c r="A313" s="12" t="s">
        <v>216</v>
      </c>
      <c r="B313" s="18" t="s">
        <v>326</v>
      </c>
      <c r="C313" s="17"/>
      <c r="D313" s="17"/>
    </row>
    <row r="314" spans="1:4" ht="159.5" x14ac:dyDescent="0.35">
      <c r="A314" s="12" t="s">
        <v>214</v>
      </c>
      <c r="B314" s="18" t="s">
        <v>332</v>
      </c>
      <c r="C314" s="17"/>
      <c r="D314" s="17"/>
    </row>
    <row r="315" spans="1:4" ht="72.5" x14ac:dyDescent="0.35">
      <c r="A315" s="14" t="s">
        <v>42</v>
      </c>
      <c r="B315" s="18" t="s">
        <v>333</v>
      </c>
      <c r="C315" s="17"/>
      <c r="D315" s="17"/>
    </row>
    <row r="316" spans="1:4" ht="87" x14ac:dyDescent="0.35">
      <c r="A316" s="14" t="s">
        <v>46</v>
      </c>
      <c r="B316" s="15" t="s">
        <v>334</v>
      </c>
      <c r="C316" s="17"/>
      <c r="D316" s="17"/>
    </row>
    <row r="317" spans="1:4" ht="101.5" x14ac:dyDescent="0.35">
      <c r="A317" s="14" t="s">
        <v>44</v>
      </c>
      <c r="B317" s="15" t="s">
        <v>335</v>
      </c>
    </row>
    <row r="318" spans="1:4" ht="101.5" x14ac:dyDescent="0.35">
      <c r="A318" s="14" t="s">
        <v>45</v>
      </c>
      <c r="B318" s="15" t="s">
        <v>336</v>
      </c>
    </row>
    <row r="319" spans="1:4" ht="101.5" x14ac:dyDescent="0.35">
      <c r="A319" s="14" t="s">
        <v>43</v>
      </c>
      <c r="B319" s="18" t="s">
        <v>337</v>
      </c>
    </row>
    <row r="320" spans="1:4" ht="101.5" x14ac:dyDescent="0.35">
      <c r="A320" s="19" t="s">
        <v>249</v>
      </c>
      <c r="B320" s="18" t="s">
        <v>338</v>
      </c>
    </row>
    <row r="321" spans="1:4" ht="116" x14ac:dyDescent="0.35">
      <c r="A321" s="12" t="s">
        <v>0</v>
      </c>
      <c r="B321" s="18" t="s">
        <v>340</v>
      </c>
    </row>
    <row r="322" spans="1:4" ht="29" x14ac:dyDescent="0.35">
      <c r="A322" s="12" t="s">
        <v>38</v>
      </c>
      <c r="B322" s="18" t="s">
        <v>341</v>
      </c>
    </row>
    <row r="324" spans="1:4" x14ac:dyDescent="0.35">
      <c r="C324" s="16"/>
      <c r="D324" s="16"/>
    </row>
    <row r="325" spans="1:4" x14ac:dyDescent="0.35">
      <c r="B325" s="17"/>
      <c r="C325" s="17"/>
      <c r="D325" s="17"/>
    </row>
    <row r="326" spans="1:4" x14ac:dyDescent="0.35">
      <c r="B326" s="17"/>
      <c r="C326" s="17"/>
      <c r="D326" s="17"/>
    </row>
    <row r="327" spans="1:4" x14ac:dyDescent="0.35">
      <c r="B327" s="17"/>
      <c r="C327" s="17"/>
      <c r="D327" s="17"/>
    </row>
    <row r="328" spans="1:4" x14ac:dyDescent="0.35">
      <c r="B328" s="17"/>
      <c r="C328" s="17"/>
      <c r="D328" s="17"/>
    </row>
    <row r="329" spans="1:4" x14ac:dyDescent="0.35">
      <c r="B329" s="17"/>
      <c r="C329" s="17"/>
      <c r="D329" s="17"/>
    </row>
    <row r="330" spans="1:4" x14ac:dyDescent="0.35">
      <c r="B330" s="17"/>
      <c r="C330" s="17"/>
      <c r="D330" s="17"/>
    </row>
    <row r="331" spans="1:4" x14ac:dyDescent="0.35">
      <c r="B331" s="17"/>
      <c r="C331" s="17"/>
      <c r="D331" s="17"/>
    </row>
    <row r="332" spans="1:4" x14ac:dyDescent="0.35">
      <c r="B332" s="17"/>
      <c r="C332" s="17"/>
      <c r="D332" s="17"/>
    </row>
    <row r="333" spans="1:4" x14ac:dyDescent="0.35">
      <c r="B333" s="17"/>
      <c r="C333" s="17"/>
      <c r="D333" s="17"/>
    </row>
    <row r="334" spans="1:4" x14ac:dyDescent="0.35">
      <c r="B334" s="17"/>
      <c r="C334" s="17"/>
      <c r="D334" s="17"/>
    </row>
    <row r="335" spans="1:4" x14ac:dyDescent="0.35">
      <c r="B335" s="17"/>
      <c r="C335" s="17"/>
      <c r="D335" s="17"/>
    </row>
    <row r="336" spans="1:4" x14ac:dyDescent="0.35">
      <c r="B336" s="17"/>
      <c r="C336" s="17"/>
      <c r="D336" s="17"/>
    </row>
    <row r="337" spans="2:4" x14ac:dyDescent="0.35">
      <c r="B337" s="17"/>
      <c r="C337" s="17"/>
      <c r="D337" s="17"/>
    </row>
    <row r="338" spans="2:4" x14ac:dyDescent="0.35">
      <c r="B338" s="17"/>
      <c r="C338" s="17"/>
      <c r="D338" s="17"/>
    </row>
    <row r="340" spans="2:4" x14ac:dyDescent="0.35">
      <c r="B340" t="s">
        <v>339</v>
      </c>
    </row>
  </sheetData>
  <sheetProtection algorithmName="SHA-512" hashValue="Ed16CMnWzPJPXBEbdm6Vu17K8UjH8UBykn2zAJe2gbZ7rlLxWGQQRMBv7sYBsSA6MRwDPuxPxY8uV8tAw6A6hg==" saltValue="qd94yXySRO08RJwozoEUjQ==" spinCount="100000" sheet="1" objects="1" scenarios="1" selectLockedCells="1" selectUnlockedCells="1"/>
  <mergeCells count="20">
    <mergeCell ref="A47:A48"/>
    <mergeCell ref="A49:A72"/>
    <mergeCell ref="A74:A97"/>
    <mergeCell ref="A98:A120"/>
    <mergeCell ref="A37:A41"/>
    <mergeCell ref="A181:A183"/>
    <mergeCell ref="A154:A158"/>
    <mergeCell ref="A159:A163"/>
    <mergeCell ref="A164:A168"/>
    <mergeCell ref="A169:A180"/>
    <mergeCell ref="A189:A190"/>
    <mergeCell ref="A191:A214"/>
    <mergeCell ref="A216:A239"/>
    <mergeCell ref="A240:A262"/>
    <mergeCell ref="A184:A187"/>
    <mergeCell ref="A2:A7"/>
    <mergeCell ref="A8:A13"/>
    <mergeCell ref="A14:A19"/>
    <mergeCell ref="A20:A32"/>
    <mergeCell ref="A33:A36"/>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FE0-8978-435C-A4D1-438C4AA31EE0}">
  <sheetPr codeName="Tabelle4"/>
  <dimension ref="A1:A31"/>
  <sheetViews>
    <sheetView workbookViewId="0">
      <selection activeCell="G35" sqref="G35"/>
    </sheetView>
  </sheetViews>
  <sheetFormatPr baseColWidth="10" defaultRowHeight="14.5" x14ac:dyDescent="0.35"/>
  <cols>
    <col min="1" max="1" width="44.7265625" bestFit="1" customWidth="1"/>
  </cols>
  <sheetData>
    <row r="1" spans="1:1" ht="16.5" thickBot="1" x14ac:dyDescent="0.45">
      <c r="A1" s="21" t="s">
        <v>248</v>
      </c>
    </row>
    <row r="2" spans="1:1" x14ac:dyDescent="0.35">
      <c r="A2" t="s">
        <v>186</v>
      </c>
    </row>
    <row r="3" spans="1:1" x14ac:dyDescent="0.35">
      <c r="A3" t="s">
        <v>184</v>
      </c>
    </row>
    <row r="4" spans="1:1" x14ac:dyDescent="0.35">
      <c r="A4" t="s">
        <v>194</v>
      </c>
    </row>
    <row r="5" spans="1:1" x14ac:dyDescent="0.35">
      <c r="A5" t="s">
        <v>195</v>
      </c>
    </row>
    <row r="6" spans="1:1" x14ac:dyDescent="0.35">
      <c r="A6" t="s">
        <v>196</v>
      </c>
    </row>
    <row r="7" spans="1:1" x14ac:dyDescent="0.35">
      <c r="A7" t="s">
        <v>197</v>
      </c>
    </row>
    <row r="8" spans="1:1" x14ac:dyDescent="0.35">
      <c r="A8" t="s">
        <v>198</v>
      </c>
    </row>
    <row r="9" spans="1:1" x14ac:dyDescent="0.35">
      <c r="A9" t="s">
        <v>199</v>
      </c>
    </row>
    <row r="10" spans="1:1" x14ac:dyDescent="0.35">
      <c r="A10" t="s">
        <v>185</v>
      </c>
    </row>
    <row r="11" spans="1:1" x14ac:dyDescent="0.35">
      <c r="A11" t="s">
        <v>187</v>
      </c>
    </row>
    <row r="12" spans="1:1" x14ac:dyDescent="0.35">
      <c r="A12" t="s">
        <v>188</v>
      </c>
    </row>
    <row r="13" spans="1:1" x14ac:dyDescent="0.35">
      <c r="A13" t="s">
        <v>189</v>
      </c>
    </row>
    <row r="14" spans="1:1" x14ac:dyDescent="0.35">
      <c r="A14" t="s">
        <v>190</v>
      </c>
    </row>
    <row r="15" spans="1:1" x14ac:dyDescent="0.35">
      <c r="A15" t="s">
        <v>191</v>
      </c>
    </row>
    <row r="16" spans="1:1" x14ac:dyDescent="0.35">
      <c r="A16" t="s">
        <v>192</v>
      </c>
    </row>
    <row r="17" spans="1:1" x14ac:dyDescent="0.35">
      <c r="A17" t="s">
        <v>163</v>
      </c>
    </row>
    <row r="18" spans="1:1" x14ac:dyDescent="0.35">
      <c r="A18" t="s">
        <v>193</v>
      </c>
    </row>
    <row r="19" spans="1:1" x14ac:dyDescent="0.35">
      <c r="A19" t="s">
        <v>201</v>
      </c>
    </row>
    <row r="20" spans="1:1" x14ac:dyDescent="0.35">
      <c r="A20" t="s">
        <v>202</v>
      </c>
    </row>
    <row r="21" spans="1:1" x14ac:dyDescent="0.35">
      <c r="A21" t="s">
        <v>203</v>
      </c>
    </row>
    <row r="22" spans="1:1" x14ac:dyDescent="0.35">
      <c r="A22" t="s">
        <v>164</v>
      </c>
    </row>
    <row r="23" spans="1:1" x14ac:dyDescent="0.35">
      <c r="A23" t="s">
        <v>200</v>
      </c>
    </row>
    <row r="24" spans="1:1" x14ac:dyDescent="0.35">
      <c r="A24" t="s">
        <v>204</v>
      </c>
    </row>
    <row r="25" spans="1:1" x14ac:dyDescent="0.35">
      <c r="A25" t="s">
        <v>205</v>
      </c>
    </row>
    <row r="26" spans="1:1" x14ac:dyDescent="0.35">
      <c r="A26" t="s">
        <v>206</v>
      </c>
    </row>
    <row r="27" spans="1:1" x14ac:dyDescent="0.35">
      <c r="A27" t="s">
        <v>207</v>
      </c>
    </row>
    <row r="28" spans="1:1" x14ac:dyDescent="0.35">
      <c r="A28" t="s">
        <v>208</v>
      </c>
    </row>
    <row r="29" spans="1:1" x14ac:dyDescent="0.35">
      <c r="A29" t="s">
        <v>209</v>
      </c>
    </row>
    <row r="30" spans="1:1" x14ac:dyDescent="0.35">
      <c r="A30" t="s">
        <v>210</v>
      </c>
    </row>
    <row r="31" spans="1:1" x14ac:dyDescent="0.35">
      <c r="A31" t="s">
        <v>211</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C6F7-745E-4755-98ED-D7BAE80E8794}">
  <sheetPr codeName="Tabelle5"/>
  <dimension ref="A1:A49"/>
  <sheetViews>
    <sheetView workbookViewId="0"/>
  </sheetViews>
  <sheetFormatPr baseColWidth="10" defaultRowHeight="14.5" x14ac:dyDescent="0.35"/>
  <cols>
    <col min="1" max="1" width="77.7265625" bestFit="1" customWidth="1"/>
  </cols>
  <sheetData>
    <row r="1" spans="1:1" ht="16.5" thickBot="1" x14ac:dyDescent="0.45">
      <c r="A1" s="21" t="s">
        <v>287</v>
      </c>
    </row>
    <row r="2" spans="1:1" x14ac:dyDescent="0.35">
      <c r="A2" t="s">
        <v>24</v>
      </c>
    </row>
    <row r="3" spans="1:1" x14ac:dyDescent="0.35">
      <c r="A3" t="s">
        <v>21</v>
      </c>
    </row>
    <row r="4" spans="1:1" x14ac:dyDescent="0.35">
      <c r="A4" t="s">
        <v>17</v>
      </c>
    </row>
    <row r="5" spans="1:1" x14ac:dyDescent="0.35">
      <c r="A5" t="s">
        <v>16</v>
      </c>
    </row>
    <row r="6" spans="1:1" x14ac:dyDescent="0.35">
      <c r="A6" t="s">
        <v>279</v>
      </c>
    </row>
    <row r="7" spans="1:1" x14ac:dyDescent="0.35">
      <c r="A7" t="s">
        <v>280</v>
      </c>
    </row>
    <row r="8" spans="1:1" x14ac:dyDescent="0.35">
      <c r="A8" t="s">
        <v>168</v>
      </c>
    </row>
    <row r="9" spans="1:1" x14ac:dyDescent="0.35">
      <c r="A9" t="s">
        <v>169</v>
      </c>
    </row>
    <row r="10" spans="1:1" x14ac:dyDescent="0.35">
      <c r="A10" t="s">
        <v>165</v>
      </c>
    </row>
    <row r="11" spans="1:1" x14ac:dyDescent="0.35">
      <c r="A11" t="s">
        <v>166</v>
      </c>
    </row>
    <row r="12" spans="1:1" x14ac:dyDescent="0.35">
      <c r="A12" t="s">
        <v>167</v>
      </c>
    </row>
    <row r="13" spans="1:1" x14ac:dyDescent="0.35">
      <c r="A13" t="s">
        <v>1</v>
      </c>
    </row>
    <row r="14" spans="1:1" x14ac:dyDescent="0.35">
      <c r="A14" t="s">
        <v>22</v>
      </c>
    </row>
    <row r="15" spans="1:1" x14ac:dyDescent="0.35">
      <c r="A15" t="s">
        <v>2</v>
      </c>
    </row>
    <row r="16" spans="1:1" x14ac:dyDescent="0.35">
      <c r="A16" t="s">
        <v>276</v>
      </c>
    </row>
    <row r="17" spans="1:1" x14ac:dyDescent="0.35">
      <c r="A17" t="s">
        <v>171</v>
      </c>
    </row>
    <row r="18" spans="1:1" x14ac:dyDescent="0.35">
      <c r="A18" t="s">
        <v>172</v>
      </c>
    </row>
    <row r="19" spans="1:1" x14ac:dyDescent="0.35">
      <c r="A19" t="s">
        <v>173</v>
      </c>
    </row>
    <row r="20" spans="1:1" x14ac:dyDescent="0.35">
      <c r="A20" s="9" t="s">
        <v>278</v>
      </c>
    </row>
    <row r="21" spans="1:1" x14ac:dyDescent="0.35">
      <c r="A21" t="s">
        <v>179</v>
      </c>
    </row>
    <row r="22" spans="1:1" x14ac:dyDescent="0.35">
      <c r="A22" t="s">
        <v>181</v>
      </c>
    </row>
    <row r="23" spans="1:1" x14ac:dyDescent="0.35">
      <c r="A23" t="s">
        <v>250</v>
      </c>
    </row>
    <row r="24" spans="1:1" x14ac:dyDescent="0.35">
      <c r="A24" t="s">
        <v>251</v>
      </c>
    </row>
    <row r="25" spans="1:1" x14ac:dyDescent="0.35">
      <c r="A25" t="s">
        <v>252</v>
      </c>
    </row>
    <row r="26" spans="1:1" x14ac:dyDescent="0.35">
      <c r="A26" t="s">
        <v>253</v>
      </c>
    </row>
    <row r="27" spans="1:1" x14ac:dyDescent="0.35">
      <c r="A27" t="s">
        <v>254</v>
      </c>
    </row>
    <row r="28" spans="1:1" x14ac:dyDescent="0.35">
      <c r="A28" t="s">
        <v>257</v>
      </c>
    </row>
    <row r="29" spans="1:1" x14ac:dyDescent="0.35">
      <c r="A29" t="s">
        <v>258</v>
      </c>
    </row>
    <row r="30" spans="1:1" x14ac:dyDescent="0.35">
      <c r="A30" t="s">
        <v>259</v>
      </c>
    </row>
    <row r="31" spans="1:1" x14ac:dyDescent="0.35">
      <c r="A31" t="s">
        <v>260</v>
      </c>
    </row>
    <row r="32" spans="1:1" x14ac:dyDescent="0.35">
      <c r="A32" t="s">
        <v>261</v>
      </c>
    </row>
    <row r="33" spans="1:1" x14ac:dyDescent="0.35">
      <c r="A33" t="s">
        <v>262</v>
      </c>
    </row>
    <row r="34" spans="1:1" x14ac:dyDescent="0.35">
      <c r="A34" t="s">
        <v>263</v>
      </c>
    </row>
    <row r="35" spans="1:1" x14ac:dyDescent="0.35">
      <c r="A35" t="s">
        <v>264</v>
      </c>
    </row>
    <row r="36" spans="1:1" x14ac:dyDescent="0.35">
      <c r="A36" t="s">
        <v>255</v>
      </c>
    </row>
    <row r="37" spans="1:1" x14ac:dyDescent="0.35">
      <c r="A37" t="s">
        <v>256</v>
      </c>
    </row>
    <row r="38" spans="1:1" x14ac:dyDescent="0.35">
      <c r="A38" t="s">
        <v>265</v>
      </c>
    </row>
    <row r="39" spans="1:1" x14ac:dyDescent="0.35">
      <c r="A39" t="s">
        <v>266</v>
      </c>
    </row>
    <row r="40" spans="1:1" x14ac:dyDescent="0.35">
      <c r="A40" t="s">
        <v>267</v>
      </c>
    </row>
    <row r="41" spans="1:1" x14ac:dyDescent="0.35">
      <c r="A41" t="s">
        <v>268</v>
      </c>
    </row>
    <row r="42" spans="1:1" x14ac:dyDescent="0.35">
      <c r="A42" t="s">
        <v>269</v>
      </c>
    </row>
    <row r="43" spans="1:1" x14ac:dyDescent="0.35">
      <c r="A43" t="s">
        <v>270</v>
      </c>
    </row>
    <row r="44" spans="1:1" x14ac:dyDescent="0.35">
      <c r="A44" t="s">
        <v>271</v>
      </c>
    </row>
    <row r="45" spans="1:1" x14ac:dyDescent="0.35">
      <c r="A45" t="s">
        <v>272</v>
      </c>
    </row>
    <row r="46" spans="1:1" x14ac:dyDescent="0.35">
      <c r="A46" t="s">
        <v>277</v>
      </c>
    </row>
    <row r="47" spans="1:1" x14ac:dyDescent="0.35">
      <c r="A47" t="s">
        <v>273</v>
      </c>
    </row>
    <row r="48" spans="1:1" x14ac:dyDescent="0.35">
      <c r="A48" t="s">
        <v>274</v>
      </c>
    </row>
    <row r="49" spans="1:1" x14ac:dyDescent="0.35">
      <c r="A49" t="s">
        <v>275</v>
      </c>
    </row>
  </sheetData>
  <autoFilter ref="A2:A49" xr:uid="{F0A7C6F7-745E-4755-98ED-D7BAE80E8794}"/>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353F-027E-4BBE-AE30-8266E85689B0}">
  <sheetPr codeName="Tabelle6"/>
  <dimension ref="A1:A15"/>
  <sheetViews>
    <sheetView workbookViewId="0">
      <selection activeCell="G20" sqref="G20"/>
    </sheetView>
  </sheetViews>
  <sheetFormatPr baseColWidth="10" defaultRowHeight="14.5" x14ac:dyDescent="0.35"/>
  <cols>
    <col min="1" max="1" width="38" bestFit="1" customWidth="1"/>
  </cols>
  <sheetData>
    <row r="1" spans="1:1" ht="16.5" thickBot="1" x14ac:dyDescent="0.45">
      <c r="A1" s="21" t="s">
        <v>288</v>
      </c>
    </row>
    <row r="2" spans="1:1" x14ac:dyDescent="0.35">
      <c r="A2" t="s">
        <v>18</v>
      </c>
    </row>
    <row r="3" spans="1:1" x14ac:dyDescent="0.35">
      <c r="A3" t="s">
        <v>175</v>
      </c>
    </row>
    <row r="4" spans="1:1" x14ac:dyDescent="0.35">
      <c r="A4" t="s">
        <v>170</v>
      </c>
    </row>
    <row r="5" spans="1:1" x14ac:dyDescent="0.35">
      <c r="A5" t="s">
        <v>19</v>
      </c>
    </row>
    <row r="6" spans="1:1" x14ac:dyDescent="0.35">
      <c r="A6" t="s">
        <v>23</v>
      </c>
    </row>
    <row r="7" spans="1:1" x14ac:dyDescent="0.35">
      <c r="A7" t="s">
        <v>20</v>
      </c>
    </row>
    <row r="8" spans="1:1" x14ac:dyDescent="0.35">
      <c r="A8" t="s">
        <v>178</v>
      </c>
    </row>
    <row r="9" spans="1:1" x14ac:dyDescent="0.35">
      <c r="A9" t="s">
        <v>176</v>
      </c>
    </row>
    <row r="10" spans="1:1" x14ac:dyDescent="0.35">
      <c r="A10" t="s">
        <v>177</v>
      </c>
    </row>
    <row r="11" spans="1:1" x14ac:dyDescent="0.35">
      <c r="A11" t="s">
        <v>174</v>
      </c>
    </row>
    <row r="12" spans="1:1" x14ac:dyDescent="0.35">
      <c r="A12" t="s">
        <v>180</v>
      </c>
    </row>
    <row r="13" spans="1:1" x14ac:dyDescent="0.35">
      <c r="A13" t="s">
        <v>182</v>
      </c>
    </row>
    <row r="14" spans="1:1" x14ac:dyDescent="0.35">
      <c r="A14" t="s">
        <v>183</v>
      </c>
    </row>
    <row r="15" spans="1:1" x14ac:dyDescent="0.35">
      <c r="A15" t="s">
        <v>285</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D91E-B7B1-4AC1-AC59-0C89A0DD5667}">
  <sheetPr codeName="Tabelle7"/>
  <dimension ref="A1:C48"/>
  <sheetViews>
    <sheetView workbookViewId="0">
      <selection activeCell="A42" sqref="A42"/>
    </sheetView>
  </sheetViews>
  <sheetFormatPr baseColWidth="10" defaultRowHeight="14.5" x14ac:dyDescent="0.35"/>
  <cols>
    <col min="1" max="1" width="65.1796875" customWidth="1"/>
    <col min="2" max="2" width="64.36328125" bestFit="1" customWidth="1"/>
  </cols>
  <sheetData>
    <row r="1" spans="1:2" ht="16" x14ac:dyDescent="0.4">
      <c r="A1" s="20" t="s">
        <v>289</v>
      </c>
      <c r="B1" s="20" t="s">
        <v>343</v>
      </c>
    </row>
    <row r="2" spans="1:2" x14ac:dyDescent="0.35">
      <c r="A2" t="s">
        <v>14</v>
      </c>
    </row>
    <row r="3" spans="1:2" x14ac:dyDescent="0.35">
      <c r="A3" t="s">
        <v>212</v>
      </c>
    </row>
    <row r="4" spans="1:2" x14ac:dyDescent="0.35">
      <c r="A4" t="s">
        <v>213</v>
      </c>
    </row>
    <row r="5" spans="1:2" x14ac:dyDescent="0.35">
      <c r="A5" t="s">
        <v>214</v>
      </c>
    </row>
    <row r="6" spans="1:2" x14ac:dyDescent="0.35">
      <c r="A6" t="s">
        <v>215</v>
      </c>
    </row>
    <row r="7" spans="1:2" x14ac:dyDescent="0.35">
      <c r="A7" t="s">
        <v>216</v>
      </c>
    </row>
    <row r="8" spans="1:2" x14ac:dyDescent="0.35">
      <c r="A8" t="s">
        <v>217</v>
      </c>
    </row>
    <row r="9" spans="1:2" x14ac:dyDescent="0.35">
      <c r="A9" t="s">
        <v>51</v>
      </c>
    </row>
    <row r="10" spans="1:2" x14ac:dyDescent="0.35">
      <c r="A10" t="s">
        <v>218</v>
      </c>
    </row>
    <row r="11" spans="1:2" x14ac:dyDescent="0.35">
      <c r="A11" t="s">
        <v>15</v>
      </c>
    </row>
    <row r="12" spans="1:2" x14ac:dyDescent="0.35">
      <c r="A12" t="s">
        <v>219</v>
      </c>
    </row>
    <row r="13" spans="1:2" x14ac:dyDescent="0.35">
      <c r="A13" t="s">
        <v>50</v>
      </c>
    </row>
    <row r="14" spans="1:2" x14ac:dyDescent="0.35">
      <c r="A14" t="s">
        <v>221</v>
      </c>
    </row>
    <row r="15" spans="1:2" x14ac:dyDescent="0.35">
      <c r="A15" t="s">
        <v>0</v>
      </c>
    </row>
    <row r="16" spans="1:2" x14ac:dyDescent="0.35">
      <c r="A16" t="s">
        <v>38</v>
      </c>
    </row>
    <row r="17" spans="1:2" x14ac:dyDescent="0.35">
      <c r="A17" t="s">
        <v>220</v>
      </c>
    </row>
    <row r="18" spans="1:2" x14ac:dyDescent="0.35">
      <c r="A18" t="s">
        <v>222</v>
      </c>
    </row>
    <row r="19" spans="1:2" x14ac:dyDescent="0.35">
      <c r="A19" t="s">
        <v>224</v>
      </c>
    </row>
    <row r="20" spans="1:2" x14ac:dyDescent="0.35">
      <c r="A20" t="s">
        <v>41</v>
      </c>
    </row>
    <row r="21" spans="1:2" x14ac:dyDescent="0.35">
      <c r="A21" s="10" t="s">
        <v>42</v>
      </c>
    </row>
    <row r="22" spans="1:2" x14ac:dyDescent="0.35">
      <c r="A22" s="10" t="s">
        <v>43</v>
      </c>
    </row>
    <row r="23" spans="1:2" x14ac:dyDescent="0.35">
      <c r="A23" s="10" t="s">
        <v>44</v>
      </c>
    </row>
    <row r="24" spans="1:2" x14ac:dyDescent="0.35">
      <c r="A24" s="10" t="s">
        <v>45</v>
      </c>
    </row>
    <row r="25" spans="1:2" x14ac:dyDescent="0.35">
      <c r="A25" s="10" t="s">
        <v>46</v>
      </c>
    </row>
    <row r="26" spans="1:2" x14ac:dyDescent="0.35">
      <c r="A26" s="10" t="s">
        <v>143</v>
      </c>
    </row>
    <row r="27" spans="1:2" x14ac:dyDescent="0.35">
      <c r="A27" s="10" t="s">
        <v>223</v>
      </c>
      <c r="B27" t="s">
        <v>235</v>
      </c>
    </row>
    <row r="28" spans="1:2" x14ac:dyDescent="0.35">
      <c r="A28" s="10" t="s">
        <v>225</v>
      </c>
      <c r="B28" t="s">
        <v>358</v>
      </c>
    </row>
    <row r="29" spans="1:2" x14ac:dyDescent="0.35">
      <c r="A29" s="10" t="s">
        <v>226</v>
      </c>
      <c r="B29" t="s">
        <v>244</v>
      </c>
    </row>
    <row r="30" spans="1:2" x14ac:dyDescent="0.35">
      <c r="A30" s="10" t="s">
        <v>227</v>
      </c>
    </row>
    <row r="31" spans="1:2" x14ac:dyDescent="0.35">
      <c r="A31" s="10" t="s">
        <v>228</v>
      </c>
      <c r="B31" t="s">
        <v>239</v>
      </c>
    </row>
    <row r="32" spans="1:2" x14ac:dyDescent="0.35">
      <c r="A32" s="10" t="s">
        <v>229</v>
      </c>
      <c r="B32" t="s">
        <v>242</v>
      </c>
    </row>
    <row r="33" spans="1:3" x14ac:dyDescent="0.35">
      <c r="A33" s="10" t="s">
        <v>230</v>
      </c>
      <c r="B33" t="s">
        <v>247</v>
      </c>
    </row>
    <row r="34" spans="1:3" x14ac:dyDescent="0.35">
      <c r="A34" s="10" t="s">
        <v>231</v>
      </c>
      <c r="B34" t="s">
        <v>247</v>
      </c>
    </row>
    <row r="35" spans="1:3" x14ac:dyDescent="0.35">
      <c r="A35" s="10" t="s">
        <v>232</v>
      </c>
      <c r="B35" t="s">
        <v>247</v>
      </c>
    </row>
    <row r="36" spans="1:3" x14ac:dyDescent="0.35">
      <c r="A36" s="10" t="s">
        <v>233</v>
      </c>
      <c r="B36" t="s">
        <v>247</v>
      </c>
    </row>
    <row r="37" spans="1:3" x14ac:dyDescent="0.35">
      <c r="A37" s="10" t="s">
        <v>234</v>
      </c>
      <c r="B37" t="s">
        <v>187</v>
      </c>
    </row>
    <row r="38" spans="1:3" x14ac:dyDescent="0.35">
      <c r="A38" s="10" t="s">
        <v>236</v>
      </c>
      <c r="B38" t="s">
        <v>188</v>
      </c>
    </row>
    <row r="39" spans="1:3" x14ac:dyDescent="0.35">
      <c r="A39" s="10" t="s">
        <v>237</v>
      </c>
      <c r="B39" t="s">
        <v>238</v>
      </c>
    </row>
    <row r="40" spans="1:3" x14ac:dyDescent="0.35">
      <c r="A40" s="10" t="s">
        <v>240</v>
      </c>
      <c r="B40" t="s">
        <v>241</v>
      </c>
    </row>
    <row r="41" spans="1:3" x14ac:dyDescent="0.35">
      <c r="A41" s="10" t="s">
        <v>243</v>
      </c>
      <c r="B41" t="s">
        <v>191</v>
      </c>
    </row>
    <row r="42" spans="1:3" x14ac:dyDescent="0.35">
      <c r="A42" s="10" t="s">
        <v>245</v>
      </c>
      <c r="B42" t="s">
        <v>246</v>
      </c>
    </row>
    <row r="43" spans="1:3" x14ac:dyDescent="0.35">
      <c r="A43" s="4" t="s">
        <v>249</v>
      </c>
    </row>
    <row r="44" spans="1:3" x14ac:dyDescent="0.35">
      <c r="A44" s="24" t="s">
        <v>355</v>
      </c>
      <c r="B44" s="11" t="s">
        <v>356</v>
      </c>
      <c r="C44" t="s">
        <v>357</v>
      </c>
    </row>
    <row r="45" spans="1:3" x14ac:dyDescent="0.35">
      <c r="A45" s="24" t="s">
        <v>359</v>
      </c>
      <c r="B45" s="11" t="s">
        <v>164</v>
      </c>
      <c r="C45" t="s">
        <v>357</v>
      </c>
    </row>
    <row r="48" spans="1:3" x14ac:dyDescent="0.35">
      <c r="A48" s="11"/>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812F-8790-470C-A29E-FF0987C7067C}">
  <sheetPr codeName="Tabelle8"/>
  <dimension ref="A1:F484"/>
  <sheetViews>
    <sheetView workbookViewId="0">
      <selection activeCell="C2" sqref="C2"/>
    </sheetView>
  </sheetViews>
  <sheetFormatPr baseColWidth="10" defaultRowHeight="14.5" x14ac:dyDescent="0.35"/>
  <cols>
    <col min="1" max="1" width="45.54296875" bestFit="1" customWidth="1"/>
    <col min="2" max="2" width="88.81640625" bestFit="1" customWidth="1"/>
    <col min="3" max="3" width="61.36328125" bestFit="1" customWidth="1"/>
    <col min="4" max="5" width="11.54296875" customWidth="1"/>
    <col min="6" max="6" width="12.08984375" customWidth="1"/>
  </cols>
  <sheetData>
    <row r="1" spans="1:6" ht="16" x14ac:dyDescent="0.4">
      <c r="A1" s="20" t="s">
        <v>345</v>
      </c>
      <c r="B1" s="20" t="s">
        <v>346</v>
      </c>
      <c r="C1" s="23" t="s">
        <v>347</v>
      </c>
    </row>
    <row r="2" spans="1:6" x14ac:dyDescent="0.35">
      <c r="A2" s="4" t="s">
        <v>186</v>
      </c>
      <c r="B2" s="9" t="s">
        <v>278</v>
      </c>
      <c r="C2" t="str">
        <f>IF(A2=Blatt1!$B$1,B2,"")</f>
        <v/>
      </c>
      <c r="F2" s="9"/>
    </row>
    <row r="3" spans="1:6" x14ac:dyDescent="0.35">
      <c r="A3" s="4" t="s">
        <v>186</v>
      </c>
      <c r="B3" s="4" t="s">
        <v>251</v>
      </c>
      <c r="C3" t="str">
        <f>IF(A3=Blatt1!$B$1,B3,"")</f>
        <v/>
      </c>
    </row>
    <row r="4" spans="1:6" x14ac:dyDescent="0.35">
      <c r="A4" s="4" t="s">
        <v>186</v>
      </c>
      <c r="B4" s="4" t="s">
        <v>252</v>
      </c>
      <c r="C4" t="str">
        <f>IF(A4=Blatt1!$B$1,B4,"")</f>
        <v/>
      </c>
    </row>
    <row r="5" spans="1:6" x14ac:dyDescent="0.35">
      <c r="A5" s="4" t="s">
        <v>186</v>
      </c>
      <c r="B5" s="4" t="s">
        <v>253</v>
      </c>
      <c r="C5" t="str">
        <f>IF(A5=Blatt1!$B$1,B5,"")</f>
        <v/>
      </c>
    </row>
    <row r="6" spans="1:6" x14ac:dyDescent="0.35">
      <c r="A6" s="4" t="s">
        <v>186</v>
      </c>
      <c r="B6" s="4" t="s">
        <v>254</v>
      </c>
      <c r="C6" t="str">
        <f>IF(A6=Blatt1!$B$1,B6,"")</f>
        <v/>
      </c>
    </row>
    <row r="7" spans="1:6" x14ac:dyDescent="0.35">
      <c r="A7" s="4" t="s">
        <v>186</v>
      </c>
      <c r="B7" s="4" t="s">
        <v>257</v>
      </c>
      <c r="C7" t="str">
        <f>IF(A7=Blatt1!$B$1,B7,"")</f>
        <v/>
      </c>
    </row>
    <row r="8" spans="1:6" x14ac:dyDescent="0.35">
      <c r="A8" s="4" t="s">
        <v>186</v>
      </c>
      <c r="B8" s="4" t="s">
        <v>258</v>
      </c>
      <c r="C8" t="str">
        <f>IF(A8=Blatt1!$B$1,B8,"")</f>
        <v/>
      </c>
    </row>
    <row r="9" spans="1:6" x14ac:dyDescent="0.35">
      <c r="A9" s="4" t="s">
        <v>186</v>
      </c>
      <c r="B9" s="4" t="s">
        <v>259</v>
      </c>
      <c r="C9" t="str">
        <f>IF(A9=Blatt1!$B$1,B9,"")</f>
        <v/>
      </c>
    </row>
    <row r="10" spans="1:6" x14ac:dyDescent="0.35">
      <c r="A10" s="4" t="s">
        <v>186</v>
      </c>
      <c r="B10" s="4" t="s">
        <v>260</v>
      </c>
      <c r="C10" t="str">
        <f>IF(A10=Blatt1!$B$1,B10,"")</f>
        <v/>
      </c>
    </row>
    <row r="11" spans="1:6" x14ac:dyDescent="0.35">
      <c r="A11" s="4" t="s">
        <v>186</v>
      </c>
      <c r="B11" s="4" t="s">
        <v>261</v>
      </c>
      <c r="C11" t="str">
        <f>IF(A11=Blatt1!$B$1,B11,"")</f>
        <v/>
      </c>
    </row>
    <row r="12" spans="1:6" x14ac:dyDescent="0.35">
      <c r="A12" s="4" t="s">
        <v>186</v>
      </c>
      <c r="B12" s="4" t="s">
        <v>262</v>
      </c>
      <c r="C12" t="str">
        <f>IF(A12=Blatt1!$B$1,B12,"")</f>
        <v/>
      </c>
    </row>
    <row r="13" spans="1:6" x14ac:dyDescent="0.35">
      <c r="A13" s="4" t="s">
        <v>186</v>
      </c>
      <c r="B13" s="4" t="s">
        <v>263</v>
      </c>
      <c r="C13" t="str">
        <f>IF(A13=Blatt1!$B$1,B13,"")</f>
        <v/>
      </c>
    </row>
    <row r="14" spans="1:6" x14ac:dyDescent="0.35">
      <c r="A14" s="4" t="s">
        <v>186</v>
      </c>
      <c r="B14" s="4" t="s">
        <v>264</v>
      </c>
      <c r="C14" t="str">
        <f>IF(A14=Blatt1!$B$1,B14,"")</f>
        <v/>
      </c>
    </row>
    <row r="15" spans="1:6" x14ac:dyDescent="0.35">
      <c r="A15" s="4" t="s">
        <v>184</v>
      </c>
      <c r="B15" s="9" t="s">
        <v>278</v>
      </c>
      <c r="C15" t="str">
        <f>IF(A15=Blatt1!$B$1,B15,"")</f>
        <v/>
      </c>
    </row>
    <row r="16" spans="1:6" x14ac:dyDescent="0.35">
      <c r="A16" s="4" t="s">
        <v>184</v>
      </c>
      <c r="B16" s="4" t="s">
        <v>251</v>
      </c>
      <c r="C16" t="str">
        <f>IF(A16=Blatt1!$B$1,B16,"")</f>
        <v/>
      </c>
    </row>
    <row r="17" spans="1:3" x14ac:dyDescent="0.35">
      <c r="A17" s="4" t="s">
        <v>184</v>
      </c>
      <c r="B17" s="4" t="s">
        <v>252</v>
      </c>
      <c r="C17" t="str">
        <f>IF(A17=Blatt1!$B$1,B17,"")</f>
        <v/>
      </c>
    </row>
    <row r="18" spans="1:3" x14ac:dyDescent="0.35">
      <c r="A18" s="4" t="s">
        <v>184</v>
      </c>
      <c r="B18" s="4" t="s">
        <v>253</v>
      </c>
      <c r="C18" t="str">
        <f>IF(A18=Blatt1!$B$1,B18,"")</f>
        <v/>
      </c>
    </row>
    <row r="19" spans="1:3" x14ac:dyDescent="0.35">
      <c r="A19" s="4" t="s">
        <v>184</v>
      </c>
      <c r="B19" s="4" t="s">
        <v>254</v>
      </c>
      <c r="C19" t="str">
        <f>IF(A19=Blatt1!$B$1,B19,"")</f>
        <v/>
      </c>
    </row>
    <row r="20" spans="1:3" x14ac:dyDescent="0.35">
      <c r="A20" s="4" t="s">
        <v>184</v>
      </c>
      <c r="B20" s="4" t="s">
        <v>257</v>
      </c>
      <c r="C20" t="str">
        <f>IF(A20=Blatt1!$B$1,B20,"")</f>
        <v/>
      </c>
    </row>
    <row r="21" spans="1:3" x14ac:dyDescent="0.35">
      <c r="A21" s="4" t="s">
        <v>184</v>
      </c>
      <c r="B21" s="4" t="s">
        <v>258</v>
      </c>
      <c r="C21" t="str">
        <f>IF(A21=Blatt1!$B$1,B21,"")</f>
        <v/>
      </c>
    </row>
    <row r="22" spans="1:3" x14ac:dyDescent="0.35">
      <c r="A22" s="4" t="s">
        <v>184</v>
      </c>
      <c r="B22" s="4" t="s">
        <v>259</v>
      </c>
      <c r="C22" t="str">
        <f>IF(A22=Blatt1!$B$1,B22,"")</f>
        <v/>
      </c>
    </row>
    <row r="23" spans="1:3" x14ac:dyDescent="0.35">
      <c r="A23" s="4" t="s">
        <v>184</v>
      </c>
      <c r="B23" s="4" t="s">
        <v>260</v>
      </c>
      <c r="C23" t="str">
        <f>IF(A23=Blatt1!$B$1,B23,"")</f>
        <v/>
      </c>
    </row>
    <row r="24" spans="1:3" x14ac:dyDescent="0.35">
      <c r="A24" s="4" t="s">
        <v>184</v>
      </c>
      <c r="B24" s="4" t="s">
        <v>261</v>
      </c>
      <c r="C24" t="str">
        <f>IF(A24=Blatt1!$B$1,B24,"")</f>
        <v/>
      </c>
    </row>
    <row r="25" spans="1:3" x14ac:dyDescent="0.35">
      <c r="A25" s="4" t="s">
        <v>184</v>
      </c>
      <c r="B25" s="4" t="s">
        <v>262</v>
      </c>
      <c r="C25" t="str">
        <f>IF(A25=Blatt1!$B$1,B25,"")</f>
        <v/>
      </c>
    </row>
    <row r="26" spans="1:3" x14ac:dyDescent="0.35">
      <c r="A26" s="4" t="s">
        <v>184</v>
      </c>
      <c r="B26" s="4" t="s">
        <v>263</v>
      </c>
      <c r="C26" t="str">
        <f>IF(A26=Blatt1!$B$1,B26,"")</f>
        <v/>
      </c>
    </row>
    <row r="27" spans="1:3" x14ac:dyDescent="0.35">
      <c r="A27" s="4" t="s">
        <v>184</v>
      </c>
      <c r="B27" s="4" t="s">
        <v>264</v>
      </c>
      <c r="C27" t="str">
        <f>IF(A27=Blatt1!$B$1,B27,"")</f>
        <v/>
      </c>
    </row>
    <row r="28" spans="1:3" x14ac:dyDescent="0.35">
      <c r="A28" s="4" t="s">
        <v>194</v>
      </c>
      <c r="B28" s="4" t="s">
        <v>24</v>
      </c>
      <c r="C28" t="str">
        <f>IF(A28=Blatt1!$B$1,B28,"")</f>
        <v/>
      </c>
    </row>
    <row r="29" spans="1:3" x14ac:dyDescent="0.35">
      <c r="A29" s="4" t="s">
        <v>194</v>
      </c>
      <c r="B29" s="4" t="s">
        <v>21</v>
      </c>
      <c r="C29" t="str">
        <f>IF(A29=Blatt1!$B$1,B29,"")</f>
        <v/>
      </c>
    </row>
    <row r="30" spans="1:3" x14ac:dyDescent="0.35">
      <c r="A30" s="4" t="s">
        <v>194</v>
      </c>
      <c r="B30" s="4" t="s">
        <v>17</v>
      </c>
      <c r="C30" t="str">
        <f>IF(A30=Blatt1!$B$1,B30,"")</f>
        <v/>
      </c>
    </row>
    <row r="31" spans="1:3" x14ac:dyDescent="0.35">
      <c r="A31" s="4" t="s">
        <v>194</v>
      </c>
      <c r="B31" s="4" t="s">
        <v>16</v>
      </c>
      <c r="C31" t="str">
        <f>IF(A31=Blatt1!$B$1,B31,"")</f>
        <v/>
      </c>
    </row>
    <row r="32" spans="1:3" x14ac:dyDescent="0.35">
      <c r="A32" s="4" t="s">
        <v>194</v>
      </c>
      <c r="B32" s="4" t="s">
        <v>279</v>
      </c>
      <c r="C32" t="str">
        <f>IF(A32=Blatt1!$B$1,B32,"")</f>
        <v/>
      </c>
    </row>
    <row r="33" spans="1:3" x14ac:dyDescent="0.35">
      <c r="A33" s="4" t="s">
        <v>194</v>
      </c>
      <c r="B33" s="4" t="s">
        <v>280</v>
      </c>
      <c r="C33" t="str">
        <f>IF(A33=Blatt1!$B$1,B33,"")</f>
        <v/>
      </c>
    </row>
    <row r="34" spans="1:3" x14ac:dyDescent="0.35">
      <c r="A34" s="4" t="s">
        <v>194</v>
      </c>
      <c r="B34" s="4" t="s">
        <v>168</v>
      </c>
      <c r="C34" t="str">
        <f>IF(A34=Blatt1!$B$1,B34,"")</f>
        <v/>
      </c>
    </row>
    <row r="35" spans="1:3" x14ac:dyDescent="0.35">
      <c r="A35" s="4" t="s">
        <v>194</v>
      </c>
      <c r="B35" s="4" t="s">
        <v>169</v>
      </c>
      <c r="C35" t="str">
        <f>IF(A35=Blatt1!$B$1,B35,"")</f>
        <v/>
      </c>
    </row>
    <row r="36" spans="1:3" x14ac:dyDescent="0.35">
      <c r="A36" s="4" t="s">
        <v>194</v>
      </c>
      <c r="B36" s="4" t="s">
        <v>165</v>
      </c>
      <c r="C36" t="str">
        <f>IF(A36=Blatt1!$B$1,B36,"")</f>
        <v/>
      </c>
    </row>
    <row r="37" spans="1:3" x14ac:dyDescent="0.35">
      <c r="A37" s="4" t="s">
        <v>194</v>
      </c>
      <c r="B37" s="4" t="s">
        <v>166</v>
      </c>
      <c r="C37" t="str">
        <f>IF(A37=Blatt1!$B$1,B37,"")</f>
        <v/>
      </c>
    </row>
    <row r="38" spans="1:3" x14ac:dyDescent="0.35">
      <c r="A38" s="4" t="s">
        <v>194</v>
      </c>
      <c r="B38" s="4" t="s">
        <v>167</v>
      </c>
      <c r="C38" t="str">
        <f>IF(A38=Blatt1!$B$1,B38,"")</f>
        <v/>
      </c>
    </row>
    <row r="39" spans="1:3" x14ac:dyDescent="0.35">
      <c r="A39" s="4" t="s">
        <v>194</v>
      </c>
      <c r="B39" s="4" t="s">
        <v>1</v>
      </c>
      <c r="C39" t="str">
        <f>IF(A39=Blatt1!$B$1,B39,"")</f>
        <v/>
      </c>
    </row>
    <row r="40" spans="1:3" x14ac:dyDescent="0.35">
      <c r="A40" s="4" t="s">
        <v>194</v>
      </c>
      <c r="B40" s="4" t="s">
        <v>22</v>
      </c>
      <c r="C40" t="str">
        <f>IF(A40=Blatt1!$B$1,B40,"")</f>
        <v/>
      </c>
    </row>
    <row r="41" spans="1:3" x14ac:dyDescent="0.35">
      <c r="A41" s="4" t="s">
        <v>194</v>
      </c>
      <c r="B41" s="4" t="s">
        <v>2</v>
      </c>
      <c r="C41" t="str">
        <f>IF(A41=Blatt1!$B$1,B41,"")</f>
        <v/>
      </c>
    </row>
    <row r="42" spans="1:3" x14ac:dyDescent="0.35">
      <c r="A42" s="4" t="s">
        <v>194</v>
      </c>
      <c r="B42" s="4" t="s">
        <v>276</v>
      </c>
      <c r="C42" t="str">
        <f>IF(A42=Blatt1!$B$1,B42,"")</f>
        <v/>
      </c>
    </row>
    <row r="43" spans="1:3" x14ac:dyDescent="0.35">
      <c r="A43" s="4" t="s">
        <v>194</v>
      </c>
      <c r="B43" s="4" t="s">
        <v>171</v>
      </c>
      <c r="C43" t="str">
        <f>IF(A43=Blatt1!$B$1,B43,"")</f>
        <v/>
      </c>
    </row>
    <row r="44" spans="1:3" x14ac:dyDescent="0.35">
      <c r="A44" s="4" t="s">
        <v>194</v>
      </c>
      <c r="B44" s="4" t="s">
        <v>172</v>
      </c>
      <c r="C44" t="str">
        <f>IF(A44=Blatt1!$B$1,B44,"")</f>
        <v/>
      </c>
    </row>
    <row r="45" spans="1:3" x14ac:dyDescent="0.35">
      <c r="A45" s="4" t="s">
        <v>194</v>
      </c>
      <c r="B45" s="4" t="s">
        <v>173</v>
      </c>
      <c r="C45" t="str">
        <f>IF(A45=Blatt1!$B$1,B45,"")</f>
        <v/>
      </c>
    </row>
    <row r="46" spans="1:3" x14ac:dyDescent="0.35">
      <c r="A46" s="4" t="s">
        <v>194</v>
      </c>
      <c r="B46" s="4" t="s">
        <v>250</v>
      </c>
      <c r="C46" t="str">
        <f>IF(A46=Blatt1!$B$1,B46,"")</f>
        <v/>
      </c>
    </row>
    <row r="47" spans="1:3" x14ac:dyDescent="0.35">
      <c r="A47" s="4" t="s">
        <v>194</v>
      </c>
      <c r="B47" s="4" t="s">
        <v>179</v>
      </c>
      <c r="C47" t="str">
        <f>IF(A47=Blatt1!$B$1,B47,"")</f>
        <v/>
      </c>
    </row>
    <row r="48" spans="1:3" x14ac:dyDescent="0.35">
      <c r="A48" s="4" t="s">
        <v>194</v>
      </c>
      <c r="B48" s="4" t="s">
        <v>181</v>
      </c>
      <c r="C48" t="str">
        <f>IF(A48=Blatt1!$B$1,B48,"")</f>
        <v/>
      </c>
    </row>
    <row r="49" spans="1:3" x14ac:dyDescent="0.35">
      <c r="A49" s="4" t="s">
        <v>194</v>
      </c>
      <c r="B49" s="4" t="s">
        <v>256</v>
      </c>
      <c r="C49" t="str">
        <f>IF(A49=Blatt1!$B$1,B49,"")</f>
        <v/>
      </c>
    </row>
    <row r="50" spans="1:3" x14ac:dyDescent="0.35">
      <c r="A50" s="4" t="s">
        <v>195</v>
      </c>
      <c r="B50" s="4" t="s">
        <v>24</v>
      </c>
      <c r="C50" t="str">
        <f>IF(A50=Blatt1!$B$1,B50,"")</f>
        <v/>
      </c>
    </row>
    <row r="51" spans="1:3" x14ac:dyDescent="0.35">
      <c r="A51" s="4" t="s">
        <v>195</v>
      </c>
      <c r="B51" s="4" t="s">
        <v>21</v>
      </c>
      <c r="C51" t="str">
        <f>IF(A51=Blatt1!$B$1,B51,"")</f>
        <v/>
      </c>
    </row>
    <row r="52" spans="1:3" x14ac:dyDescent="0.35">
      <c r="A52" s="4" t="s">
        <v>195</v>
      </c>
      <c r="B52" s="4" t="s">
        <v>17</v>
      </c>
      <c r="C52" t="str">
        <f>IF(A52=Blatt1!$B$1,B52,"")</f>
        <v/>
      </c>
    </row>
    <row r="53" spans="1:3" x14ac:dyDescent="0.35">
      <c r="A53" s="4" t="s">
        <v>195</v>
      </c>
      <c r="B53" s="4" t="s">
        <v>16</v>
      </c>
      <c r="C53" t="str">
        <f>IF(A53=Blatt1!$B$1,B53,"")</f>
        <v/>
      </c>
    </row>
    <row r="54" spans="1:3" x14ac:dyDescent="0.35">
      <c r="A54" s="4" t="s">
        <v>195</v>
      </c>
      <c r="B54" s="4" t="s">
        <v>279</v>
      </c>
      <c r="C54" t="str">
        <f>IF(A54=Blatt1!$B$1,B54,"")</f>
        <v/>
      </c>
    </row>
    <row r="55" spans="1:3" x14ac:dyDescent="0.35">
      <c r="A55" s="4" t="s">
        <v>195</v>
      </c>
      <c r="B55" s="4" t="s">
        <v>280</v>
      </c>
      <c r="C55" t="str">
        <f>IF(A55=Blatt1!$B$1,B55,"")</f>
        <v/>
      </c>
    </row>
    <row r="56" spans="1:3" x14ac:dyDescent="0.35">
      <c r="A56" s="4" t="s">
        <v>195</v>
      </c>
      <c r="B56" s="4" t="s">
        <v>168</v>
      </c>
      <c r="C56" t="str">
        <f>IF(A56=Blatt1!$B$1,B56,"")</f>
        <v/>
      </c>
    </row>
    <row r="57" spans="1:3" x14ac:dyDescent="0.35">
      <c r="A57" s="4" t="s">
        <v>195</v>
      </c>
      <c r="B57" s="4" t="s">
        <v>169</v>
      </c>
      <c r="C57" t="str">
        <f>IF(A57=Blatt1!$B$1,B57,"")</f>
        <v/>
      </c>
    </row>
    <row r="58" spans="1:3" x14ac:dyDescent="0.35">
      <c r="A58" s="4" t="s">
        <v>195</v>
      </c>
      <c r="B58" s="4" t="s">
        <v>165</v>
      </c>
      <c r="C58" t="str">
        <f>IF(A58=Blatt1!$B$1,B58,"")</f>
        <v/>
      </c>
    </row>
    <row r="59" spans="1:3" x14ac:dyDescent="0.35">
      <c r="A59" s="4" t="s">
        <v>195</v>
      </c>
      <c r="B59" s="4" t="s">
        <v>166</v>
      </c>
      <c r="C59" t="str">
        <f>IF(A59=Blatt1!$B$1,B59,"")</f>
        <v/>
      </c>
    </row>
    <row r="60" spans="1:3" x14ac:dyDescent="0.35">
      <c r="A60" s="4" t="s">
        <v>195</v>
      </c>
      <c r="B60" s="4" t="s">
        <v>167</v>
      </c>
      <c r="C60" t="str">
        <f>IF(A60=Blatt1!$B$1,B60,"")</f>
        <v/>
      </c>
    </row>
    <row r="61" spans="1:3" x14ac:dyDescent="0.35">
      <c r="A61" s="4" t="s">
        <v>195</v>
      </c>
      <c r="B61" s="4" t="s">
        <v>1</v>
      </c>
      <c r="C61" t="str">
        <f>IF(A61=Blatt1!$B$1,B61,"")</f>
        <v/>
      </c>
    </row>
    <row r="62" spans="1:3" x14ac:dyDescent="0.35">
      <c r="A62" s="4" t="s">
        <v>195</v>
      </c>
      <c r="B62" s="4" t="s">
        <v>22</v>
      </c>
      <c r="C62" t="str">
        <f>IF(A62=Blatt1!$B$1,B62,"")</f>
        <v/>
      </c>
    </row>
    <row r="63" spans="1:3" x14ac:dyDescent="0.35">
      <c r="A63" s="4" t="s">
        <v>195</v>
      </c>
      <c r="B63" s="4" t="s">
        <v>2</v>
      </c>
      <c r="C63" t="str">
        <f>IF(A63=Blatt1!$B$1,B63,"")</f>
        <v/>
      </c>
    </row>
    <row r="64" spans="1:3" x14ac:dyDescent="0.35">
      <c r="A64" s="4" t="s">
        <v>195</v>
      </c>
      <c r="B64" s="4" t="s">
        <v>276</v>
      </c>
      <c r="C64" t="str">
        <f>IF(A64=Blatt1!$B$1,B64,"")</f>
        <v/>
      </c>
    </row>
    <row r="65" spans="1:3" x14ac:dyDescent="0.35">
      <c r="A65" s="4" t="s">
        <v>195</v>
      </c>
      <c r="B65" s="4" t="s">
        <v>171</v>
      </c>
      <c r="C65" t="str">
        <f>IF(A65=Blatt1!$B$1,B65,"")</f>
        <v/>
      </c>
    </row>
    <row r="66" spans="1:3" x14ac:dyDescent="0.35">
      <c r="A66" s="4" t="s">
        <v>195</v>
      </c>
      <c r="B66" s="4" t="s">
        <v>172</v>
      </c>
      <c r="C66" t="str">
        <f>IF(A66=Blatt1!$B$1,B66,"")</f>
        <v/>
      </c>
    </row>
    <row r="67" spans="1:3" x14ac:dyDescent="0.35">
      <c r="A67" s="4" t="s">
        <v>195</v>
      </c>
      <c r="B67" s="4" t="s">
        <v>173</v>
      </c>
      <c r="C67" t="str">
        <f>IF(A67=Blatt1!$B$1,B67,"")</f>
        <v/>
      </c>
    </row>
    <row r="68" spans="1:3" x14ac:dyDescent="0.35">
      <c r="A68" s="4" t="s">
        <v>195</v>
      </c>
      <c r="B68" s="4" t="s">
        <v>250</v>
      </c>
      <c r="C68" t="str">
        <f>IF(A68=Blatt1!$B$1,B68,"")</f>
        <v/>
      </c>
    </row>
    <row r="69" spans="1:3" x14ac:dyDescent="0.35">
      <c r="A69" s="4" t="s">
        <v>195</v>
      </c>
      <c r="B69" s="4" t="s">
        <v>179</v>
      </c>
      <c r="C69" t="str">
        <f>IF(A69=Blatt1!$B$1,B69,"")</f>
        <v/>
      </c>
    </row>
    <row r="70" spans="1:3" x14ac:dyDescent="0.35">
      <c r="A70" s="4" t="s">
        <v>195</v>
      </c>
      <c r="B70" s="4" t="s">
        <v>181</v>
      </c>
      <c r="C70" t="str">
        <f>IF(A70=Blatt1!$B$1,B70,"")</f>
        <v/>
      </c>
    </row>
    <row r="71" spans="1:3" x14ac:dyDescent="0.35">
      <c r="A71" s="4" t="s">
        <v>195</v>
      </c>
      <c r="B71" s="4" t="s">
        <v>256</v>
      </c>
      <c r="C71" t="str">
        <f>IF(A71=Blatt1!$B$1,B71,"")</f>
        <v/>
      </c>
    </row>
    <row r="72" spans="1:3" x14ac:dyDescent="0.35">
      <c r="A72" s="4" t="s">
        <v>196</v>
      </c>
      <c r="B72" s="4" t="s">
        <v>24</v>
      </c>
      <c r="C72" t="str">
        <f>IF(A72=Blatt1!$B$1,B72,"")</f>
        <v/>
      </c>
    </row>
    <row r="73" spans="1:3" x14ac:dyDescent="0.35">
      <c r="A73" s="4" t="s">
        <v>196</v>
      </c>
      <c r="B73" s="4" t="s">
        <v>21</v>
      </c>
      <c r="C73" t="str">
        <f>IF(A73=Blatt1!$B$1,B73,"")</f>
        <v/>
      </c>
    </row>
    <row r="74" spans="1:3" x14ac:dyDescent="0.35">
      <c r="A74" s="4" t="s">
        <v>196</v>
      </c>
      <c r="B74" s="4" t="s">
        <v>17</v>
      </c>
      <c r="C74" t="str">
        <f>IF(A74=Blatt1!$B$1,B74,"")</f>
        <v/>
      </c>
    </row>
    <row r="75" spans="1:3" x14ac:dyDescent="0.35">
      <c r="A75" s="4" t="s">
        <v>196</v>
      </c>
      <c r="B75" s="4" t="s">
        <v>16</v>
      </c>
      <c r="C75" t="str">
        <f>IF(A75=Blatt1!$B$1,B75,"")</f>
        <v/>
      </c>
    </row>
    <row r="76" spans="1:3" x14ac:dyDescent="0.35">
      <c r="A76" s="4" t="s">
        <v>196</v>
      </c>
      <c r="B76" s="4" t="s">
        <v>279</v>
      </c>
      <c r="C76" t="str">
        <f>IF(A76=Blatt1!$B$1,B76,"")</f>
        <v/>
      </c>
    </row>
    <row r="77" spans="1:3" x14ac:dyDescent="0.35">
      <c r="A77" s="4" t="s">
        <v>196</v>
      </c>
      <c r="B77" s="4" t="s">
        <v>280</v>
      </c>
      <c r="C77" t="str">
        <f>IF(A77=Blatt1!$B$1,B77,"")</f>
        <v/>
      </c>
    </row>
    <row r="78" spans="1:3" x14ac:dyDescent="0.35">
      <c r="A78" s="4" t="s">
        <v>196</v>
      </c>
      <c r="B78" s="4" t="s">
        <v>168</v>
      </c>
      <c r="C78" t="str">
        <f>IF(A78=Blatt1!$B$1,B78,"")</f>
        <v/>
      </c>
    </row>
    <row r="79" spans="1:3" x14ac:dyDescent="0.35">
      <c r="A79" s="4" t="s">
        <v>196</v>
      </c>
      <c r="B79" s="4" t="s">
        <v>169</v>
      </c>
      <c r="C79" t="str">
        <f>IF(A79=Blatt1!$B$1,B79,"")</f>
        <v/>
      </c>
    </row>
    <row r="80" spans="1:3" x14ac:dyDescent="0.35">
      <c r="A80" s="4" t="s">
        <v>196</v>
      </c>
      <c r="B80" s="4" t="s">
        <v>165</v>
      </c>
      <c r="C80" t="str">
        <f>IF(A80=Blatt1!$B$1,B80,"")</f>
        <v/>
      </c>
    </row>
    <row r="81" spans="1:3" x14ac:dyDescent="0.35">
      <c r="A81" s="4" t="s">
        <v>196</v>
      </c>
      <c r="B81" s="4" t="s">
        <v>166</v>
      </c>
      <c r="C81" t="str">
        <f>IF(A81=Blatt1!$B$1,B81,"")</f>
        <v/>
      </c>
    </row>
    <row r="82" spans="1:3" x14ac:dyDescent="0.35">
      <c r="A82" s="4" t="s">
        <v>196</v>
      </c>
      <c r="B82" s="4" t="s">
        <v>167</v>
      </c>
      <c r="C82" t="str">
        <f>IF(A82=Blatt1!$B$1,B82,"")</f>
        <v/>
      </c>
    </row>
    <row r="83" spans="1:3" x14ac:dyDescent="0.35">
      <c r="A83" s="4" t="s">
        <v>196</v>
      </c>
      <c r="B83" s="4" t="s">
        <v>1</v>
      </c>
      <c r="C83" t="str">
        <f>IF(A83=Blatt1!$B$1,B83,"")</f>
        <v/>
      </c>
    </row>
    <row r="84" spans="1:3" x14ac:dyDescent="0.35">
      <c r="A84" s="4" t="s">
        <v>196</v>
      </c>
      <c r="B84" s="4" t="s">
        <v>22</v>
      </c>
      <c r="C84" t="str">
        <f>IF(A84=Blatt1!$B$1,B84,"")</f>
        <v/>
      </c>
    </row>
    <row r="85" spans="1:3" x14ac:dyDescent="0.35">
      <c r="A85" s="4" t="s">
        <v>196</v>
      </c>
      <c r="B85" s="4" t="s">
        <v>2</v>
      </c>
      <c r="C85" t="str">
        <f>IF(A85=Blatt1!$B$1,B85,"")</f>
        <v/>
      </c>
    </row>
    <row r="86" spans="1:3" x14ac:dyDescent="0.35">
      <c r="A86" s="4" t="s">
        <v>196</v>
      </c>
      <c r="B86" s="4" t="s">
        <v>276</v>
      </c>
      <c r="C86" t="str">
        <f>IF(A86=Blatt1!$B$1,B86,"")</f>
        <v/>
      </c>
    </row>
    <row r="87" spans="1:3" x14ac:dyDescent="0.35">
      <c r="A87" s="4" t="s">
        <v>196</v>
      </c>
      <c r="B87" s="4" t="s">
        <v>171</v>
      </c>
      <c r="C87" t="str">
        <f>IF(A87=Blatt1!$B$1,B87,"")</f>
        <v/>
      </c>
    </row>
    <row r="88" spans="1:3" x14ac:dyDescent="0.35">
      <c r="A88" s="4" t="s">
        <v>196</v>
      </c>
      <c r="B88" s="4" t="s">
        <v>172</v>
      </c>
      <c r="C88" t="str">
        <f>IF(A88=Blatt1!$B$1,B88,"")</f>
        <v/>
      </c>
    </row>
    <row r="89" spans="1:3" x14ac:dyDescent="0.35">
      <c r="A89" s="4" t="s">
        <v>196</v>
      </c>
      <c r="B89" s="4" t="s">
        <v>173</v>
      </c>
      <c r="C89" t="str">
        <f>IF(A89=Blatt1!$B$1,B89,"")</f>
        <v/>
      </c>
    </row>
    <row r="90" spans="1:3" x14ac:dyDescent="0.35">
      <c r="A90" s="4" t="s">
        <v>196</v>
      </c>
      <c r="B90" s="4" t="s">
        <v>250</v>
      </c>
      <c r="C90" t="str">
        <f>IF(A90=Blatt1!$B$1,B90,"")</f>
        <v/>
      </c>
    </row>
    <row r="91" spans="1:3" x14ac:dyDescent="0.35">
      <c r="A91" s="4" t="s">
        <v>196</v>
      </c>
      <c r="B91" s="4" t="s">
        <v>179</v>
      </c>
      <c r="C91" t="str">
        <f>IF(A91=Blatt1!$B$1,B91,"")</f>
        <v/>
      </c>
    </row>
    <row r="92" spans="1:3" x14ac:dyDescent="0.35">
      <c r="A92" s="4" t="s">
        <v>196</v>
      </c>
      <c r="B92" s="4" t="s">
        <v>181</v>
      </c>
      <c r="C92" t="str">
        <f>IF(A92=Blatt1!$B$1,B92,"")</f>
        <v/>
      </c>
    </row>
    <row r="93" spans="1:3" x14ac:dyDescent="0.35">
      <c r="A93" s="4" t="s">
        <v>196</v>
      </c>
      <c r="B93" s="4" t="s">
        <v>256</v>
      </c>
      <c r="C93" t="str">
        <f>IF(A93=Blatt1!$B$1,B93,"")</f>
        <v/>
      </c>
    </row>
    <row r="94" spans="1:3" x14ac:dyDescent="0.35">
      <c r="A94" s="4" t="s">
        <v>197</v>
      </c>
      <c r="B94" s="4" t="s">
        <v>24</v>
      </c>
      <c r="C94" t="str">
        <f>IF(A94=Blatt1!$B$1,B94,"")</f>
        <v>Effekt zu schwach</v>
      </c>
    </row>
    <row r="95" spans="1:3" x14ac:dyDescent="0.35">
      <c r="A95" s="4" t="s">
        <v>197</v>
      </c>
      <c r="B95" s="4" t="s">
        <v>21</v>
      </c>
      <c r="C95" t="str">
        <f>IF(A95=Blatt1!$B$1,B95,"")</f>
        <v>Effekt ist viel zu heftig, zu stark</v>
      </c>
    </row>
    <row r="96" spans="1:3" x14ac:dyDescent="0.35">
      <c r="A96" s="4" t="s">
        <v>197</v>
      </c>
      <c r="B96" s="4" t="s">
        <v>17</v>
      </c>
      <c r="C96" t="str">
        <f>IF(A96=Blatt1!$B$1,B96,"")</f>
        <v>Effekt fährt zu langsam</v>
      </c>
    </row>
    <row r="97" spans="1:3" x14ac:dyDescent="0.35">
      <c r="A97" s="4" t="s">
        <v>197</v>
      </c>
      <c r="B97" s="4" t="s">
        <v>16</v>
      </c>
      <c r="C97" t="str">
        <f>IF(A97=Blatt1!$B$1,B97,"")</f>
        <v>Effekt fährt  zu schnell</v>
      </c>
    </row>
    <row r="98" spans="1:3" x14ac:dyDescent="0.35">
      <c r="A98" s="4" t="s">
        <v>197</v>
      </c>
      <c r="B98" s="4" t="s">
        <v>279</v>
      </c>
      <c r="C98" t="str">
        <f>IF(A98=Blatt1!$B$1,B98,"")</f>
        <v>Effekt viel zu ruppig (auch bei niedrigen Verfahrweg) - zu hart</v>
      </c>
    </row>
    <row r="99" spans="1:3" x14ac:dyDescent="0.35">
      <c r="A99" s="4" t="s">
        <v>197</v>
      </c>
      <c r="B99" s="4" t="s">
        <v>280</v>
      </c>
      <c r="C99" t="str">
        <f>IF(A99=Blatt1!$B$1,B99,"")</f>
        <v>Effekt kommt mir vor wie eingeschlafen, viel zu "gedämpft", ausgebremst - zu weich</v>
      </c>
    </row>
    <row r="100" spans="1:3" x14ac:dyDescent="0.35">
      <c r="A100" s="4" t="s">
        <v>197</v>
      </c>
      <c r="B100" s="4" t="s">
        <v>168</v>
      </c>
      <c r="C100" t="str">
        <f>IF(A100=Blatt1!$B$1,B100,"")</f>
        <v>Es kommen zu wenig Details im Effekt an</v>
      </c>
    </row>
    <row r="101" spans="1:3" x14ac:dyDescent="0.35">
      <c r="A101" s="4" t="s">
        <v>197</v>
      </c>
      <c r="B101" s="4" t="s">
        <v>169</v>
      </c>
      <c r="C101" t="str">
        <f>IF(A101=Blatt1!$B$1,B101,"")</f>
        <v>Es kommen übertriebene Details im Effekt an</v>
      </c>
    </row>
    <row r="102" spans="1:3" x14ac:dyDescent="0.35">
      <c r="A102" s="4" t="s">
        <v>197</v>
      </c>
      <c r="B102" s="4" t="s">
        <v>165</v>
      </c>
      <c r="C102" t="str">
        <f>IF(A102=Blatt1!$B$1,B102,"")</f>
        <v>Details im unteren Bereich sind mir zu schwach</v>
      </c>
    </row>
    <row r="103" spans="1:3" x14ac:dyDescent="0.35">
      <c r="A103" s="4" t="s">
        <v>197</v>
      </c>
      <c r="B103" s="4" t="s">
        <v>166</v>
      </c>
      <c r="C103" t="str">
        <f>IF(A103=Blatt1!$B$1,B103,"")</f>
        <v>Details im unteren Bereich sind mir zu stark / übertrieben</v>
      </c>
    </row>
    <row r="104" spans="1:3" x14ac:dyDescent="0.35">
      <c r="A104" s="4" t="s">
        <v>197</v>
      </c>
      <c r="B104" s="4" t="s">
        <v>167</v>
      </c>
      <c r="C104" t="str">
        <f>IF(A104=Blatt1!$B$1,B104,"")</f>
        <v>Effekt bewegt sich in Situationen, wo ich das garnicht möchte (Unterer oder oberer Bereich)</v>
      </c>
    </row>
    <row r="105" spans="1:3" x14ac:dyDescent="0.35">
      <c r="A105" s="4" t="s">
        <v>197</v>
      </c>
      <c r="B105" s="4" t="s">
        <v>1</v>
      </c>
      <c r="C105" t="str">
        <f>IF(A105=Blatt1!$B$1,B105,"")</f>
        <v>Effekt wackelt im unteren Bereich ständig (Effekt Zittern, typisch bei Surge oder Roll)</v>
      </c>
    </row>
    <row r="106" spans="1:3" x14ac:dyDescent="0.35">
      <c r="A106" s="4" t="s">
        <v>197</v>
      </c>
      <c r="B106" s="4" t="s">
        <v>22</v>
      </c>
      <c r="C106" t="str">
        <f>IF(A106=Blatt1!$B$1,B106,"")</f>
        <v>Der Verfahrweg des Effekts ist mir zu wenig</v>
      </c>
    </row>
    <row r="107" spans="1:3" x14ac:dyDescent="0.35">
      <c r="A107" s="4" t="s">
        <v>197</v>
      </c>
      <c r="B107" s="4" t="s">
        <v>2</v>
      </c>
      <c r="C107" t="str">
        <f>IF(A107=Blatt1!$B$1,B107,"")</f>
        <v>Der Verfahrweg des Effekts ist mir zu viel</v>
      </c>
    </row>
    <row r="108" spans="1:3" x14ac:dyDescent="0.35">
      <c r="A108" s="4" t="s">
        <v>197</v>
      </c>
      <c r="B108" s="4" t="s">
        <v>276</v>
      </c>
      <c r="C108" t="str">
        <f>IF(A108=Blatt1!$B$1,B108,"")</f>
        <v>Ich kenne den Wert des Effektes nicht, was dort an Telemetrie ankommt aus dem Spiel (Input)</v>
      </c>
    </row>
    <row r="109" spans="1:3" x14ac:dyDescent="0.35">
      <c r="A109" s="4" t="s">
        <v>197</v>
      </c>
      <c r="B109" s="4" t="s">
        <v>171</v>
      </c>
      <c r="C109" t="str">
        <f>IF(A109=Blatt1!$B$1,B109,"")</f>
        <v>Effekt ist zu lahm, beschleunigt zu langsam</v>
      </c>
    </row>
    <row r="110" spans="1:3" x14ac:dyDescent="0.35">
      <c r="A110" s="4" t="s">
        <v>197</v>
      </c>
      <c r="B110" s="4" t="s">
        <v>172</v>
      </c>
      <c r="C110" t="str">
        <f>IF(A110=Blatt1!$B$1,B110,"")</f>
        <v>Effekt ist völlig übertrieben und hart, beschleunigt zu schnell</v>
      </c>
    </row>
    <row r="111" spans="1:3" x14ac:dyDescent="0.35">
      <c r="A111" s="4" t="s">
        <v>197</v>
      </c>
      <c r="B111" s="4" t="s">
        <v>173</v>
      </c>
      <c r="C111" t="str">
        <f>IF(A111=Blatt1!$B$1,B111,"")</f>
        <v>Ich habe Störsignale im Effekt, die da nicht hin gehören</v>
      </c>
    </row>
    <row r="112" spans="1:3" x14ac:dyDescent="0.35">
      <c r="A112" s="4" t="s">
        <v>197</v>
      </c>
      <c r="B112" s="4" t="s">
        <v>250</v>
      </c>
      <c r="C112" t="str">
        <f>IF(A112=Blatt1!$B$1,B112,"")</f>
        <v>Effekt hat Clipping - Overflow - Überlagerung - wird abgeschnitten</v>
      </c>
    </row>
    <row r="113" spans="1:3" x14ac:dyDescent="0.35">
      <c r="A113" s="4" t="s">
        <v>197</v>
      </c>
      <c r="B113" s="4" t="s">
        <v>179</v>
      </c>
      <c r="C113" t="str">
        <f>IF(A113=Blatt1!$B$1,B113,"")</f>
        <v>Verfahr Richtung des Effektes läuft falsch rum</v>
      </c>
    </row>
    <row r="114" spans="1:3" x14ac:dyDescent="0.35">
      <c r="A114" s="4" t="s">
        <v>197</v>
      </c>
      <c r="B114" s="4" t="s">
        <v>181</v>
      </c>
      <c r="C114" t="str">
        <f>IF(A114=Blatt1!$B$1,B114,"")</f>
        <v>Effekt Funktioniert garnicht</v>
      </c>
    </row>
    <row r="115" spans="1:3" x14ac:dyDescent="0.35">
      <c r="A115" s="4" t="s">
        <v>197</v>
      </c>
      <c r="B115" s="4" t="s">
        <v>256</v>
      </c>
      <c r="C115" t="str">
        <f>IF(A115=Blatt1!$B$1,B115,"")</f>
        <v>Ich hätte gerne eine Totzone</v>
      </c>
    </row>
    <row r="116" spans="1:3" x14ac:dyDescent="0.35">
      <c r="A116" s="4" t="s">
        <v>198</v>
      </c>
      <c r="B116" s="4" t="s">
        <v>24</v>
      </c>
      <c r="C116" t="str">
        <f>IF(A116=Blatt1!$B$1,B116,"")</f>
        <v/>
      </c>
    </row>
    <row r="117" spans="1:3" x14ac:dyDescent="0.35">
      <c r="A117" s="4" t="s">
        <v>198</v>
      </c>
      <c r="B117" s="4" t="s">
        <v>21</v>
      </c>
      <c r="C117" t="str">
        <f>IF(A117=Blatt1!$B$1,B117,"")</f>
        <v/>
      </c>
    </row>
    <row r="118" spans="1:3" x14ac:dyDescent="0.35">
      <c r="A118" s="4" t="s">
        <v>198</v>
      </c>
      <c r="B118" s="4" t="s">
        <v>17</v>
      </c>
      <c r="C118" t="str">
        <f>IF(A118=Blatt1!$B$1,B118,"")</f>
        <v/>
      </c>
    </row>
    <row r="119" spans="1:3" x14ac:dyDescent="0.35">
      <c r="A119" s="4" t="s">
        <v>198</v>
      </c>
      <c r="B119" s="4" t="s">
        <v>16</v>
      </c>
      <c r="C119" t="str">
        <f>IF(A119=Blatt1!$B$1,B119,"")</f>
        <v/>
      </c>
    </row>
    <row r="120" spans="1:3" x14ac:dyDescent="0.35">
      <c r="A120" s="4" t="s">
        <v>198</v>
      </c>
      <c r="B120" s="4" t="s">
        <v>279</v>
      </c>
      <c r="C120" t="str">
        <f>IF(A120=Blatt1!$B$1,B120,"")</f>
        <v/>
      </c>
    </row>
    <row r="121" spans="1:3" x14ac:dyDescent="0.35">
      <c r="A121" s="4" t="s">
        <v>198</v>
      </c>
      <c r="B121" s="4" t="s">
        <v>280</v>
      </c>
      <c r="C121" t="str">
        <f>IF(A121=Blatt1!$B$1,B121,"")</f>
        <v/>
      </c>
    </row>
    <row r="122" spans="1:3" x14ac:dyDescent="0.35">
      <c r="A122" s="4" t="s">
        <v>198</v>
      </c>
      <c r="B122" s="4" t="s">
        <v>168</v>
      </c>
      <c r="C122" t="str">
        <f>IF(A122=Blatt1!$B$1,B122,"")</f>
        <v/>
      </c>
    </row>
    <row r="123" spans="1:3" x14ac:dyDescent="0.35">
      <c r="A123" s="4" t="s">
        <v>198</v>
      </c>
      <c r="B123" s="4" t="s">
        <v>169</v>
      </c>
      <c r="C123" t="str">
        <f>IF(A123=Blatt1!$B$1,B123,"")</f>
        <v/>
      </c>
    </row>
    <row r="124" spans="1:3" x14ac:dyDescent="0.35">
      <c r="A124" s="4" t="s">
        <v>198</v>
      </c>
      <c r="B124" s="4" t="s">
        <v>165</v>
      </c>
      <c r="C124" t="str">
        <f>IF(A124=Blatt1!$B$1,B124,"")</f>
        <v/>
      </c>
    </row>
    <row r="125" spans="1:3" x14ac:dyDescent="0.35">
      <c r="A125" s="4" t="s">
        <v>198</v>
      </c>
      <c r="B125" s="4" t="s">
        <v>166</v>
      </c>
      <c r="C125" t="str">
        <f>IF(A125=Blatt1!$B$1,B125,"")</f>
        <v/>
      </c>
    </row>
    <row r="126" spans="1:3" x14ac:dyDescent="0.35">
      <c r="A126" s="4" t="s">
        <v>198</v>
      </c>
      <c r="B126" s="4" t="s">
        <v>167</v>
      </c>
      <c r="C126" t="str">
        <f>IF(A126=Blatt1!$B$1,B126,"")</f>
        <v/>
      </c>
    </row>
    <row r="127" spans="1:3" x14ac:dyDescent="0.35">
      <c r="A127" s="4" t="s">
        <v>198</v>
      </c>
      <c r="B127" s="4" t="s">
        <v>1</v>
      </c>
      <c r="C127" t="str">
        <f>IF(A127=Blatt1!$B$1,B127,"")</f>
        <v/>
      </c>
    </row>
    <row r="128" spans="1:3" x14ac:dyDescent="0.35">
      <c r="A128" s="4" t="s">
        <v>198</v>
      </c>
      <c r="B128" s="4" t="s">
        <v>22</v>
      </c>
      <c r="C128" t="str">
        <f>IF(A128=Blatt1!$B$1,B128,"")</f>
        <v/>
      </c>
    </row>
    <row r="129" spans="1:3" x14ac:dyDescent="0.35">
      <c r="A129" s="4" t="s">
        <v>198</v>
      </c>
      <c r="B129" s="4" t="s">
        <v>2</v>
      </c>
      <c r="C129" t="str">
        <f>IF(A129=Blatt1!$B$1,B129,"")</f>
        <v/>
      </c>
    </row>
    <row r="130" spans="1:3" x14ac:dyDescent="0.35">
      <c r="A130" s="4" t="s">
        <v>198</v>
      </c>
      <c r="B130" s="4" t="s">
        <v>276</v>
      </c>
      <c r="C130" t="str">
        <f>IF(A130=Blatt1!$B$1,B130,"")</f>
        <v/>
      </c>
    </row>
    <row r="131" spans="1:3" x14ac:dyDescent="0.35">
      <c r="A131" s="4" t="s">
        <v>198</v>
      </c>
      <c r="B131" s="4" t="s">
        <v>171</v>
      </c>
      <c r="C131" t="str">
        <f>IF(A131=Blatt1!$B$1,B131,"")</f>
        <v/>
      </c>
    </row>
    <row r="132" spans="1:3" x14ac:dyDescent="0.35">
      <c r="A132" s="4" t="s">
        <v>198</v>
      </c>
      <c r="B132" s="4" t="s">
        <v>172</v>
      </c>
      <c r="C132" t="str">
        <f>IF(A132=Blatt1!$B$1,B132,"")</f>
        <v/>
      </c>
    </row>
    <row r="133" spans="1:3" x14ac:dyDescent="0.35">
      <c r="A133" s="4" t="s">
        <v>198</v>
      </c>
      <c r="B133" s="4" t="s">
        <v>173</v>
      </c>
      <c r="C133" t="str">
        <f>IF(A133=Blatt1!$B$1,B133,"")</f>
        <v/>
      </c>
    </row>
    <row r="134" spans="1:3" x14ac:dyDescent="0.35">
      <c r="A134" s="4" t="s">
        <v>198</v>
      </c>
      <c r="B134" s="4" t="s">
        <v>250</v>
      </c>
      <c r="C134" t="str">
        <f>IF(A134=Blatt1!$B$1,B134,"")</f>
        <v/>
      </c>
    </row>
    <row r="135" spans="1:3" x14ac:dyDescent="0.35">
      <c r="A135" s="4" t="s">
        <v>198</v>
      </c>
      <c r="B135" s="4" t="s">
        <v>179</v>
      </c>
      <c r="C135" t="str">
        <f>IF(A135=Blatt1!$B$1,B135,"")</f>
        <v/>
      </c>
    </row>
    <row r="136" spans="1:3" x14ac:dyDescent="0.35">
      <c r="A136" s="4" t="s">
        <v>198</v>
      </c>
      <c r="B136" s="4" t="s">
        <v>181</v>
      </c>
      <c r="C136" t="str">
        <f>IF(A136=Blatt1!$B$1,B136,"")</f>
        <v/>
      </c>
    </row>
    <row r="137" spans="1:3" x14ac:dyDescent="0.35">
      <c r="A137" s="4" t="s">
        <v>198</v>
      </c>
      <c r="B137" s="4" t="s">
        <v>256</v>
      </c>
      <c r="C137" t="str">
        <f>IF(A137=Blatt1!$B$1,B137,"")</f>
        <v/>
      </c>
    </row>
    <row r="138" spans="1:3" x14ac:dyDescent="0.35">
      <c r="A138" s="4" t="s">
        <v>199</v>
      </c>
      <c r="B138" s="4" t="s">
        <v>24</v>
      </c>
      <c r="C138" t="str">
        <f>IF(A138=Blatt1!$B$1,B138,"")</f>
        <v/>
      </c>
    </row>
    <row r="139" spans="1:3" x14ac:dyDescent="0.35">
      <c r="A139" s="4" t="s">
        <v>199</v>
      </c>
      <c r="B139" s="4" t="s">
        <v>21</v>
      </c>
      <c r="C139" t="str">
        <f>IF(A139=Blatt1!$B$1,B139,"")</f>
        <v/>
      </c>
    </row>
    <row r="140" spans="1:3" x14ac:dyDescent="0.35">
      <c r="A140" s="4" t="s">
        <v>199</v>
      </c>
      <c r="B140" s="4" t="s">
        <v>17</v>
      </c>
      <c r="C140" t="str">
        <f>IF(A140=Blatt1!$B$1,B140,"")</f>
        <v/>
      </c>
    </row>
    <row r="141" spans="1:3" x14ac:dyDescent="0.35">
      <c r="A141" s="4" t="s">
        <v>199</v>
      </c>
      <c r="B141" s="4" t="s">
        <v>16</v>
      </c>
      <c r="C141" t="str">
        <f>IF(A141=Blatt1!$B$1,B141,"")</f>
        <v/>
      </c>
    </row>
    <row r="142" spans="1:3" x14ac:dyDescent="0.35">
      <c r="A142" s="4" t="s">
        <v>199</v>
      </c>
      <c r="B142" s="4" t="s">
        <v>279</v>
      </c>
      <c r="C142" t="str">
        <f>IF(A142=Blatt1!$B$1,B142,"")</f>
        <v/>
      </c>
    </row>
    <row r="143" spans="1:3" x14ac:dyDescent="0.35">
      <c r="A143" s="4" t="s">
        <v>199</v>
      </c>
      <c r="B143" s="4" t="s">
        <v>280</v>
      </c>
      <c r="C143" t="str">
        <f>IF(A143=Blatt1!$B$1,B143,"")</f>
        <v/>
      </c>
    </row>
    <row r="144" spans="1:3" x14ac:dyDescent="0.35">
      <c r="A144" s="4" t="s">
        <v>199</v>
      </c>
      <c r="B144" s="4" t="s">
        <v>168</v>
      </c>
      <c r="C144" t="str">
        <f>IF(A144=Blatt1!$B$1,B144,"")</f>
        <v/>
      </c>
    </row>
    <row r="145" spans="1:3" x14ac:dyDescent="0.35">
      <c r="A145" s="4" t="s">
        <v>199</v>
      </c>
      <c r="B145" s="4" t="s">
        <v>169</v>
      </c>
      <c r="C145" t="str">
        <f>IF(A145=Blatt1!$B$1,B145,"")</f>
        <v/>
      </c>
    </row>
    <row r="146" spans="1:3" x14ac:dyDescent="0.35">
      <c r="A146" s="4" t="s">
        <v>199</v>
      </c>
      <c r="B146" s="4" t="s">
        <v>165</v>
      </c>
      <c r="C146" t="str">
        <f>IF(A146=Blatt1!$B$1,B146,"")</f>
        <v/>
      </c>
    </row>
    <row r="147" spans="1:3" x14ac:dyDescent="0.35">
      <c r="A147" s="4" t="s">
        <v>199</v>
      </c>
      <c r="B147" s="4" t="s">
        <v>166</v>
      </c>
      <c r="C147" t="str">
        <f>IF(A147=Blatt1!$B$1,B147,"")</f>
        <v/>
      </c>
    </row>
    <row r="148" spans="1:3" x14ac:dyDescent="0.35">
      <c r="A148" s="4" t="s">
        <v>199</v>
      </c>
      <c r="B148" s="4" t="s">
        <v>167</v>
      </c>
      <c r="C148" t="str">
        <f>IF(A148=Blatt1!$B$1,B148,"")</f>
        <v/>
      </c>
    </row>
    <row r="149" spans="1:3" x14ac:dyDescent="0.35">
      <c r="A149" s="4" t="s">
        <v>199</v>
      </c>
      <c r="B149" s="4" t="s">
        <v>1</v>
      </c>
      <c r="C149" t="str">
        <f>IF(A149=Blatt1!$B$1,B149,"")</f>
        <v/>
      </c>
    </row>
    <row r="150" spans="1:3" x14ac:dyDescent="0.35">
      <c r="A150" s="4" t="s">
        <v>199</v>
      </c>
      <c r="B150" s="4" t="s">
        <v>22</v>
      </c>
      <c r="C150" t="str">
        <f>IF(A150=Blatt1!$B$1,B150,"")</f>
        <v/>
      </c>
    </row>
    <row r="151" spans="1:3" x14ac:dyDescent="0.35">
      <c r="A151" s="4" t="s">
        <v>199</v>
      </c>
      <c r="B151" s="4" t="s">
        <v>2</v>
      </c>
      <c r="C151" t="str">
        <f>IF(A151=Blatt1!$B$1,B151,"")</f>
        <v/>
      </c>
    </row>
    <row r="152" spans="1:3" x14ac:dyDescent="0.35">
      <c r="A152" s="4" t="s">
        <v>199</v>
      </c>
      <c r="B152" s="4" t="s">
        <v>276</v>
      </c>
      <c r="C152" t="str">
        <f>IF(A152=Blatt1!$B$1,B152,"")</f>
        <v/>
      </c>
    </row>
    <row r="153" spans="1:3" x14ac:dyDescent="0.35">
      <c r="A153" s="4" t="s">
        <v>199</v>
      </c>
      <c r="B153" s="4" t="s">
        <v>171</v>
      </c>
      <c r="C153" t="str">
        <f>IF(A153=Blatt1!$B$1,B153,"")</f>
        <v/>
      </c>
    </row>
    <row r="154" spans="1:3" x14ac:dyDescent="0.35">
      <c r="A154" s="4" t="s">
        <v>199</v>
      </c>
      <c r="B154" s="4" t="s">
        <v>172</v>
      </c>
      <c r="C154" t="str">
        <f>IF(A154=Blatt1!$B$1,B154,"")</f>
        <v/>
      </c>
    </row>
    <row r="155" spans="1:3" x14ac:dyDescent="0.35">
      <c r="A155" s="4" t="s">
        <v>199</v>
      </c>
      <c r="B155" s="4" t="s">
        <v>173</v>
      </c>
      <c r="C155" t="str">
        <f>IF(A155=Blatt1!$B$1,B155,"")</f>
        <v/>
      </c>
    </row>
    <row r="156" spans="1:3" x14ac:dyDescent="0.35">
      <c r="A156" s="4" t="s">
        <v>199</v>
      </c>
      <c r="B156" s="4" t="s">
        <v>250</v>
      </c>
      <c r="C156" t="str">
        <f>IF(A156=Blatt1!$B$1,B156,"")</f>
        <v/>
      </c>
    </row>
    <row r="157" spans="1:3" x14ac:dyDescent="0.35">
      <c r="A157" s="4" t="s">
        <v>199</v>
      </c>
      <c r="B157" s="4" t="s">
        <v>179</v>
      </c>
      <c r="C157" t="str">
        <f>IF(A157=Blatt1!$B$1,B157,"")</f>
        <v/>
      </c>
    </row>
    <row r="158" spans="1:3" x14ac:dyDescent="0.35">
      <c r="A158" s="4" t="s">
        <v>199</v>
      </c>
      <c r="B158" s="4" t="s">
        <v>181</v>
      </c>
      <c r="C158" t="str">
        <f>IF(A158=Blatt1!$B$1,B158,"")</f>
        <v/>
      </c>
    </row>
    <row r="159" spans="1:3" x14ac:dyDescent="0.35">
      <c r="A159" s="4" t="s">
        <v>199</v>
      </c>
      <c r="B159" s="4" t="s">
        <v>256</v>
      </c>
      <c r="C159" t="str">
        <f>IF(A159=Blatt1!$B$1,B159,"")</f>
        <v/>
      </c>
    </row>
    <row r="160" spans="1:3" x14ac:dyDescent="0.35">
      <c r="A160" s="4" t="s">
        <v>185</v>
      </c>
      <c r="B160" s="9" t="s">
        <v>278</v>
      </c>
      <c r="C160" t="str">
        <f>IF(A160=Blatt1!$B$1,B160,"")</f>
        <v/>
      </c>
    </row>
    <row r="161" spans="1:3" x14ac:dyDescent="0.35">
      <c r="A161" s="4" t="s">
        <v>185</v>
      </c>
      <c r="B161" s="4" t="s">
        <v>251</v>
      </c>
      <c r="C161" t="str">
        <f>IF(A161=Blatt1!$B$1,B161,"")</f>
        <v/>
      </c>
    </row>
    <row r="162" spans="1:3" x14ac:dyDescent="0.35">
      <c r="A162" s="4" t="s">
        <v>185</v>
      </c>
      <c r="B162" s="4" t="s">
        <v>252</v>
      </c>
      <c r="C162" t="str">
        <f>IF(A162=Blatt1!$B$1,B162,"")</f>
        <v/>
      </c>
    </row>
    <row r="163" spans="1:3" x14ac:dyDescent="0.35">
      <c r="A163" s="4" t="s">
        <v>185</v>
      </c>
      <c r="B163" s="4" t="s">
        <v>253</v>
      </c>
      <c r="C163" t="str">
        <f>IF(A163=Blatt1!$B$1,B163,"")</f>
        <v/>
      </c>
    </row>
    <row r="164" spans="1:3" x14ac:dyDescent="0.35">
      <c r="A164" s="4" t="s">
        <v>185</v>
      </c>
      <c r="B164" s="4" t="s">
        <v>254</v>
      </c>
      <c r="C164" t="str">
        <f>IF(A164=Blatt1!$B$1,B164,"")</f>
        <v/>
      </c>
    </row>
    <row r="165" spans="1:3" x14ac:dyDescent="0.35">
      <c r="A165" s="4" t="s">
        <v>185</v>
      </c>
      <c r="B165" s="4" t="s">
        <v>257</v>
      </c>
      <c r="C165" t="str">
        <f>IF(A165=Blatt1!$B$1,B165,"")</f>
        <v/>
      </c>
    </row>
    <row r="166" spans="1:3" x14ac:dyDescent="0.35">
      <c r="A166" s="4" t="s">
        <v>185</v>
      </c>
      <c r="B166" s="4" t="s">
        <v>258</v>
      </c>
      <c r="C166" t="str">
        <f>IF(A166=Blatt1!$B$1,B166,"")</f>
        <v/>
      </c>
    </row>
    <row r="167" spans="1:3" x14ac:dyDescent="0.35">
      <c r="A167" s="4" t="s">
        <v>185</v>
      </c>
      <c r="B167" s="4" t="s">
        <v>259</v>
      </c>
      <c r="C167" t="str">
        <f>IF(A167=Blatt1!$B$1,B167,"")</f>
        <v/>
      </c>
    </row>
    <row r="168" spans="1:3" x14ac:dyDescent="0.35">
      <c r="A168" s="4" t="s">
        <v>185</v>
      </c>
      <c r="B168" s="4" t="s">
        <v>260</v>
      </c>
      <c r="C168" t="str">
        <f>IF(A168=Blatt1!$B$1,B168,"")</f>
        <v/>
      </c>
    </row>
    <row r="169" spans="1:3" x14ac:dyDescent="0.35">
      <c r="A169" s="4" t="s">
        <v>185</v>
      </c>
      <c r="B169" s="4" t="s">
        <v>261</v>
      </c>
      <c r="C169" t="str">
        <f>IF(A169=Blatt1!$B$1,B169,"")</f>
        <v/>
      </c>
    </row>
    <row r="170" spans="1:3" x14ac:dyDescent="0.35">
      <c r="A170" s="4" t="s">
        <v>185</v>
      </c>
      <c r="B170" s="4" t="s">
        <v>262</v>
      </c>
      <c r="C170" t="str">
        <f>IF(A170=Blatt1!$B$1,B170,"")</f>
        <v/>
      </c>
    </row>
    <row r="171" spans="1:3" x14ac:dyDescent="0.35">
      <c r="A171" s="4" t="s">
        <v>185</v>
      </c>
      <c r="B171" s="4" t="s">
        <v>263</v>
      </c>
      <c r="C171" t="str">
        <f>IF(A171=Blatt1!$B$1,B171,"")</f>
        <v/>
      </c>
    </row>
    <row r="172" spans="1:3" x14ac:dyDescent="0.35">
      <c r="A172" s="4" t="s">
        <v>185</v>
      </c>
      <c r="B172" s="4" t="s">
        <v>264</v>
      </c>
      <c r="C172" t="str">
        <f>IF(A172=Blatt1!$B$1,B172,"")</f>
        <v/>
      </c>
    </row>
    <row r="173" spans="1:3" x14ac:dyDescent="0.35">
      <c r="A173" s="4" t="s">
        <v>187</v>
      </c>
      <c r="B173" s="4" t="s">
        <v>24</v>
      </c>
      <c r="C173" t="str">
        <f>IF(A173=Blatt1!$B$1,B173,"")</f>
        <v/>
      </c>
    </row>
    <row r="174" spans="1:3" x14ac:dyDescent="0.35">
      <c r="A174" s="4" t="s">
        <v>187</v>
      </c>
      <c r="B174" s="4" t="s">
        <v>21</v>
      </c>
      <c r="C174" t="str">
        <f>IF(A174=Blatt1!$B$1,B174,"")</f>
        <v/>
      </c>
    </row>
    <row r="175" spans="1:3" x14ac:dyDescent="0.35">
      <c r="A175" s="4" t="s">
        <v>187</v>
      </c>
      <c r="B175" s="4" t="s">
        <v>17</v>
      </c>
      <c r="C175" t="str">
        <f>IF(A175=Blatt1!$B$1,B175,"")</f>
        <v/>
      </c>
    </row>
    <row r="176" spans="1:3" x14ac:dyDescent="0.35">
      <c r="A176" s="4" t="s">
        <v>187</v>
      </c>
      <c r="B176" s="4" t="s">
        <v>16</v>
      </c>
      <c r="C176" t="str">
        <f>IF(A176=Blatt1!$B$1,B176,"")</f>
        <v/>
      </c>
    </row>
    <row r="177" spans="1:3" x14ac:dyDescent="0.35">
      <c r="A177" s="4" t="s">
        <v>187</v>
      </c>
      <c r="B177" s="4" t="s">
        <v>279</v>
      </c>
      <c r="C177" t="str">
        <f>IF(A177=Blatt1!$B$1,B177,"")</f>
        <v/>
      </c>
    </row>
    <row r="178" spans="1:3" x14ac:dyDescent="0.35">
      <c r="A178" s="4" t="s">
        <v>187</v>
      </c>
      <c r="B178" s="4" t="s">
        <v>280</v>
      </c>
      <c r="C178" t="str">
        <f>IF(A178=Blatt1!$B$1,B178,"")</f>
        <v/>
      </c>
    </row>
    <row r="179" spans="1:3" x14ac:dyDescent="0.35">
      <c r="A179" s="4" t="s">
        <v>187</v>
      </c>
      <c r="B179" s="4" t="s">
        <v>168</v>
      </c>
      <c r="C179" t="str">
        <f>IF(A179=Blatt1!$B$1,B179,"")</f>
        <v/>
      </c>
    </row>
    <row r="180" spans="1:3" x14ac:dyDescent="0.35">
      <c r="A180" s="4" t="s">
        <v>187</v>
      </c>
      <c r="B180" s="4" t="s">
        <v>169</v>
      </c>
      <c r="C180" t="str">
        <f>IF(A180=Blatt1!$B$1,B180,"")</f>
        <v/>
      </c>
    </row>
    <row r="181" spans="1:3" x14ac:dyDescent="0.35">
      <c r="A181" s="4" t="s">
        <v>187</v>
      </c>
      <c r="B181" s="4" t="s">
        <v>165</v>
      </c>
      <c r="C181" t="str">
        <f>IF(A181=Blatt1!$B$1,B181,"")</f>
        <v/>
      </c>
    </row>
    <row r="182" spans="1:3" x14ac:dyDescent="0.35">
      <c r="A182" s="4" t="s">
        <v>187</v>
      </c>
      <c r="B182" s="4" t="s">
        <v>166</v>
      </c>
      <c r="C182" t="str">
        <f>IF(A182=Blatt1!$B$1,B182,"")</f>
        <v/>
      </c>
    </row>
    <row r="183" spans="1:3" x14ac:dyDescent="0.35">
      <c r="A183" s="4" t="s">
        <v>187</v>
      </c>
      <c r="B183" s="4" t="s">
        <v>167</v>
      </c>
      <c r="C183" t="str">
        <f>IF(A183=Blatt1!$B$1,B183,"")</f>
        <v/>
      </c>
    </row>
    <row r="184" spans="1:3" x14ac:dyDescent="0.35">
      <c r="A184" s="4" t="s">
        <v>187</v>
      </c>
      <c r="B184" s="4" t="s">
        <v>1</v>
      </c>
      <c r="C184" t="str">
        <f>IF(A184=Blatt1!$B$1,B184,"")</f>
        <v/>
      </c>
    </row>
    <row r="185" spans="1:3" x14ac:dyDescent="0.35">
      <c r="A185" s="4" t="s">
        <v>187</v>
      </c>
      <c r="B185" s="4" t="s">
        <v>22</v>
      </c>
      <c r="C185" t="str">
        <f>IF(A185=Blatt1!$B$1,B185,"")</f>
        <v/>
      </c>
    </row>
    <row r="186" spans="1:3" x14ac:dyDescent="0.35">
      <c r="A186" s="4" t="s">
        <v>187</v>
      </c>
      <c r="B186" s="4" t="s">
        <v>2</v>
      </c>
      <c r="C186" t="str">
        <f>IF(A186=Blatt1!$B$1,B186,"")</f>
        <v/>
      </c>
    </row>
    <row r="187" spans="1:3" x14ac:dyDescent="0.35">
      <c r="A187" s="4" t="s">
        <v>187</v>
      </c>
      <c r="B187" s="4" t="s">
        <v>276</v>
      </c>
      <c r="C187" t="str">
        <f>IF(A187=Blatt1!$B$1,B187,"")</f>
        <v/>
      </c>
    </row>
    <row r="188" spans="1:3" x14ac:dyDescent="0.35">
      <c r="A188" s="4" t="s">
        <v>187</v>
      </c>
      <c r="B188" s="4" t="s">
        <v>171</v>
      </c>
      <c r="C188" t="str">
        <f>IF(A188=Blatt1!$B$1,B188,"")</f>
        <v/>
      </c>
    </row>
    <row r="189" spans="1:3" x14ac:dyDescent="0.35">
      <c r="A189" s="4" t="s">
        <v>187</v>
      </c>
      <c r="B189" s="4" t="s">
        <v>172</v>
      </c>
      <c r="C189" t="str">
        <f>IF(A189=Blatt1!$B$1,B189,"")</f>
        <v/>
      </c>
    </row>
    <row r="190" spans="1:3" x14ac:dyDescent="0.35">
      <c r="A190" s="4" t="s">
        <v>187</v>
      </c>
      <c r="B190" s="4" t="s">
        <v>173</v>
      </c>
      <c r="C190" t="str">
        <f>IF(A190=Blatt1!$B$1,B190,"")</f>
        <v/>
      </c>
    </row>
    <row r="191" spans="1:3" x14ac:dyDescent="0.35">
      <c r="A191" s="4" t="s">
        <v>187</v>
      </c>
      <c r="B191" s="4" t="s">
        <v>250</v>
      </c>
      <c r="C191" t="str">
        <f>IF(A191=Blatt1!$B$1,B191,"")</f>
        <v/>
      </c>
    </row>
    <row r="192" spans="1:3" x14ac:dyDescent="0.35">
      <c r="A192" s="4" t="s">
        <v>187</v>
      </c>
      <c r="B192" s="4" t="s">
        <v>179</v>
      </c>
      <c r="C192" t="str">
        <f>IF(A192=Blatt1!$B$1,B192,"")</f>
        <v/>
      </c>
    </row>
    <row r="193" spans="1:3" x14ac:dyDescent="0.35">
      <c r="A193" s="4" t="s">
        <v>187</v>
      </c>
      <c r="B193" s="4" t="s">
        <v>181</v>
      </c>
      <c r="C193" t="str">
        <f>IF(A193=Blatt1!$B$1,B193,"")</f>
        <v/>
      </c>
    </row>
    <row r="194" spans="1:3" x14ac:dyDescent="0.35">
      <c r="A194" s="4" t="s">
        <v>187</v>
      </c>
      <c r="B194" s="4" t="s">
        <v>256</v>
      </c>
      <c r="C194" t="str">
        <f>IF(A194=Blatt1!$B$1,B194,"")</f>
        <v/>
      </c>
    </row>
    <row r="195" spans="1:3" x14ac:dyDescent="0.35">
      <c r="A195" s="4" t="s">
        <v>188</v>
      </c>
      <c r="B195" s="4" t="s">
        <v>24</v>
      </c>
      <c r="C195" t="str">
        <f>IF(A195=Blatt1!$B$1,B195,"")</f>
        <v/>
      </c>
    </row>
    <row r="196" spans="1:3" x14ac:dyDescent="0.35">
      <c r="A196" s="4" t="s">
        <v>188</v>
      </c>
      <c r="B196" s="4" t="s">
        <v>21</v>
      </c>
      <c r="C196" t="str">
        <f>IF(A196=Blatt1!$B$1,B196,"")</f>
        <v/>
      </c>
    </row>
    <row r="197" spans="1:3" x14ac:dyDescent="0.35">
      <c r="A197" s="4" t="s">
        <v>188</v>
      </c>
      <c r="B197" s="4" t="s">
        <v>17</v>
      </c>
      <c r="C197" t="str">
        <f>IF(A197=Blatt1!$B$1,B197,"")</f>
        <v/>
      </c>
    </row>
    <row r="198" spans="1:3" x14ac:dyDescent="0.35">
      <c r="A198" s="4" t="s">
        <v>188</v>
      </c>
      <c r="B198" s="4" t="s">
        <v>16</v>
      </c>
      <c r="C198" t="str">
        <f>IF(A198=Blatt1!$B$1,B198,"")</f>
        <v/>
      </c>
    </row>
    <row r="199" spans="1:3" x14ac:dyDescent="0.35">
      <c r="A199" s="4" t="s">
        <v>188</v>
      </c>
      <c r="B199" s="4" t="s">
        <v>279</v>
      </c>
      <c r="C199" t="str">
        <f>IF(A199=Blatt1!$B$1,B199,"")</f>
        <v/>
      </c>
    </row>
    <row r="200" spans="1:3" x14ac:dyDescent="0.35">
      <c r="A200" s="4" t="s">
        <v>188</v>
      </c>
      <c r="B200" s="4" t="s">
        <v>280</v>
      </c>
      <c r="C200" t="str">
        <f>IF(A200=Blatt1!$B$1,B200,"")</f>
        <v/>
      </c>
    </row>
    <row r="201" spans="1:3" x14ac:dyDescent="0.35">
      <c r="A201" s="4" t="s">
        <v>188</v>
      </c>
      <c r="B201" s="4" t="s">
        <v>168</v>
      </c>
      <c r="C201" t="str">
        <f>IF(A201=Blatt1!$B$1,B201,"")</f>
        <v/>
      </c>
    </row>
    <row r="202" spans="1:3" x14ac:dyDescent="0.35">
      <c r="A202" s="4" t="s">
        <v>188</v>
      </c>
      <c r="B202" s="4" t="s">
        <v>169</v>
      </c>
      <c r="C202" t="str">
        <f>IF(A202=Blatt1!$B$1,B202,"")</f>
        <v/>
      </c>
    </row>
    <row r="203" spans="1:3" x14ac:dyDescent="0.35">
      <c r="A203" s="4" t="s">
        <v>188</v>
      </c>
      <c r="B203" s="4" t="s">
        <v>165</v>
      </c>
      <c r="C203" t="str">
        <f>IF(A203=Blatt1!$B$1,B203,"")</f>
        <v/>
      </c>
    </row>
    <row r="204" spans="1:3" x14ac:dyDescent="0.35">
      <c r="A204" s="4" t="s">
        <v>188</v>
      </c>
      <c r="B204" s="4" t="s">
        <v>166</v>
      </c>
      <c r="C204" t="str">
        <f>IF(A204=Blatt1!$B$1,B204,"")</f>
        <v/>
      </c>
    </row>
    <row r="205" spans="1:3" x14ac:dyDescent="0.35">
      <c r="A205" s="4" t="s">
        <v>188</v>
      </c>
      <c r="B205" s="4" t="s">
        <v>167</v>
      </c>
      <c r="C205" t="str">
        <f>IF(A205=Blatt1!$B$1,B205,"")</f>
        <v/>
      </c>
    </row>
    <row r="206" spans="1:3" x14ac:dyDescent="0.35">
      <c r="A206" s="4" t="s">
        <v>188</v>
      </c>
      <c r="B206" s="4" t="s">
        <v>1</v>
      </c>
      <c r="C206" t="str">
        <f>IF(A206=Blatt1!$B$1,B206,"")</f>
        <v/>
      </c>
    </row>
    <row r="207" spans="1:3" x14ac:dyDescent="0.35">
      <c r="A207" s="4" t="s">
        <v>188</v>
      </c>
      <c r="B207" s="4" t="s">
        <v>22</v>
      </c>
      <c r="C207" t="str">
        <f>IF(A207=Blatt1!$B$1,B207,"")</f>
        <v/>
      </c>
    </row>
    <row r="208" spans="1:3" x14ac:dyDescent="0.35">
      <c r="A208" s="4" t="s">
        <v>188</v>
      </c>
      <c r="B208" s="4" t="s">
        <v>2</v>
      </c>
      <c r="C208" t="str">
        <f>IF(A208=Blatt1!$B$1,B208,"")</f>
        <v/>
      </c>
    </row>
    <row r="209" spans="1:3" x14ac:dyDescent="0.35">
      <c r="A209" s="4" t="s">
        <v>188</v>
      </c>
      <c r="B209" s="4" t="s">
        <v>276</v>
      </c>
      <c r="C209" t="str">
        <f>IF(A209=Blatt1!$B$1,B209,"")</f>
        <v/>
      </c>
    </row>
    <row r="210" spans="1:3" x14ac:dyDescent="0.35">
      <c r="A210" s="4" t="s">
        <v>188</v>
      </c>
      <c r="B210" s="4" t="s">
        <v>171</v>
      </c>
      <c r="C210" t="str">
        <f>IF(A210=Blatt1!$B$1,B210,"")</f>
        <v/>
      </c>
    </row>
    <row r="211" spans="1:3" x14ac:dyDescent="0.35">
      <c r="A211" s="4" t="s">
        <v>188</v>
      </c>
      <c r="B211" s="4" t="s">
        <v>172</v>
      </c>
      <c r="C211" t="str">
        <f>IF(A211=Blatt1!$B$1,B211,"")</f>
        <v/>
      </c>
    </row>
    <row r="212" spans="1:3" x14ac:dyDescent="0.35">
      <c r="A212" s="4" t="s">
        <v>188</v>
      </c>
      <c r="B212" s="4" t="s">
        <v>173</v>
      </c>
      <c r="C212" t="str">
        <f>IF(A212=Blatt1!$B$1,B212,"")</f>
        <v/>
      </c>
    </row>
    <row r="213" spans="1:3" x14ac:dyDescent="0.35">
      <c r="A213" s="4" t="s">
        <v>188</v>
      </c>
      <c r="B213" s="4" t="s">
        <v>250</v>
      </c>
      <c r="C213" t="str">
        <f>IF(A213=Blatt1!$B$1,B213,"")</f>
        <v/>
      </c>
    </row>
    <row r="214" spans="1:3" x14ac:dyDescent="0.35">
      <c r="A214" s="4" t="s">
        <v>188</v>
      </c>
      <c r="B214" s="4" t="s">
        <v>179</v>
      </c>
      <c r="C214" t="str">
        <f>IF(A214=Blatt1!$B$1,B214,"")</f>
        <v/>
      </c>
    </row>
    <row r="215" spans="1:3" x14ac:dyDescent="0.35">
      <c r="A215" s="4" t="s">
        <v>188</v>
      </c>
      <c r="B215" s="4" t="s">
        <v>181</v>
      </c>
      <c r="C215" t="str">
        <f>IF(A215=Blatt1!$B$1,B215,"")</f>
        <v/>
      </c>
    </row>
    <row r="216" spans="1:3" x14ac:dyDescent="0.35">
      <c r="A216" s="4" t="s">
        <v>188</v>
      </c>
      <c r="B216" s="4" t="s">
        <v>256</v>
      </c>
      <c r="C216" t="str">
        <f>IF(A216=Blatt1!$B$1,B216,"")</f>
        <v/>
      </c>
    </row>
    <row r="217" spans="1:3" x14ac:dyDescent="0.35">
      <c r="A217" s="4" t="s">
        <v>189</v>
      </c>
      <c r="B217" s="4" t="s">
        <v>24</v>
      </c>
      <c r="C217" t="str">
        <f>IF(A217=Blatt1!$B$1,B217,"")</f>
        <v/>
      </c>
    </row>
    <row r="218" spans="1:3" x14ac:dyDescent="0.35">
      <c r="A218" s="4" t="s">
        <v>189</v>
      </c>
      <c r="B218" s="4" t="s">
        <v>21</v>
      </c>
      <c r="C218" t="str">
        <f>IF(A218=Blatt1!$B$1,B218,"")</f>
        <v/>
      </c>
    </row>
    <row r="219" spans="1:3" x14ac:dyDescent="0.35">
      <c r="A219" s="4" t="s">
        <v>189</v>
      </c>
      <c r="B219" s="4" t="s">
        <v>17</v>
      </c>
      <c r="C219" t="str">
        <f>IF(A219=Blatt1!$B$1,B219,"")</f>
        <v/>
      </c>
    </row>
    <row r="220" spans="1:3" x14ac:dyDescent="0.35">
      <c r="A220" s="4" t="s">
        <v>189</v>
      </c>
      <c r="B220" s="4" t="s">
        <v>16</v>
      </c>
      <c r="C220" t="str">
        <f>IF(A220=Blatt1!$B$1,B220,"")</f>
        <v/>
      </c>
    </row>
    <row r="221" spans="1:3" x14ac:dyDescent="0.35">
      <c r="A221" s="4" t="s">
        <v>189</v>
      </c>
      <c r="B221" s="4" t="s">
        <v>279</v>
      </c>
      <c r="C221" t="str">
        <f>IF(A221=Blatt1!$B$1,B221,"")</f>
        <v/>
      </c>
    </row>
    <row r="222" spans="1:3" x14ac:dyDescent="0.35">
      <c r="A222" s="4" t="s">
        <v>189</v>
      </c>
      <c r="B222" s="4" t="s">
        <v>280</v>
      </c>
      <c r="C222" t="str">
        <f>IF(A222=Blatt1!$B$1,B222,"")</f>
        <v/>
      </c>
    </row>
    <row r="223" spans="1:3" x14ac:dyDescent="0.35">
      <c r="A223" s="4" t="s">
        <v>189</v>
      </c>
      <c r="B223" s="4" t="s">
        <v>168</v>
      </c>
      <c r="C223" t="str">
        <f>IF(A223=Blatt1!$B$1,B223,"")</f>
        <v/>
      </c>
    </row>
    <row r="224" spans="1:3" x14ac:dyDescent="0.35">
      <c r="A224" s="4" t="s">
        <v>189</v>
      </c>
      <c r="B224" s="4" t="s">
        <v>169</v>
      </c>
      <c r="C224" t="str">
        <f>IF(A224=Blatt1!$B$1,B224,"")</f>
        <v/>
      </c>
    </row>
    <row r="225" spans="1:3" x14ac:dyDescent="0.35">
      <c r="A225" s="4" t="s">
        <v>189</v>
      </c>
      <c r="B225" s="4" t="s">
        <v>165</v>
      </c>
      <c r="C225" t="str">
        <f>IF(A225=Blatt1!$B$1,B225,"")</f>
        <v/>
      </c>
    </row>
    <row r="226" spans="1:3" x14ac:dyDescent="0.35">
      <c r="A226" s="4" t="s">
        <v>189</v>
      </c>
      <c r="B226" s="4" t="s">
        <v>166</v>
      </c>
      <c r="C226" t="str">
        <f>IF(A226=Blatt1!$B$1,B226,"")</f>
        <v/>
      </c>
    </row>
    <row r="227" spans="1:3" x14ac:dyDescent="0.35">
      <c r="A227" s="4" t="s">
        <v>189</v>
      </c>
      <c r="B227" s="4" t="s">
        <v>167</v>
      </c>
      <c r="C227" t="str">
        <f>IF(A227=Blatt1!$B$1,B227,"")</f>
        <v/>
      </c>
    </row>
    <row r="228" spans="1:3" x14ac:dyDescent="0.35">
      <c r="A228" s="4" t="s">
        <v>189</v>
      </c>
      <c r="B228" s="4" t="s">
        <v>1</v>
      </c>
      <c r="C228" t="str">
        <f>IF(A228=Blatt1!$B$1,B228,"")</f>
        <v/>
      </c>
    </row>
    <row r="229" spans="1:3" x14ac:dyDescent="0.35">
      <c r="A229" s="4" t="s">
        <v>189</v>
      </c>
      <c r="B229" s="4" t="s">
        <v>22</v>
      </c>
      <c r="C229" t="str">
        <f>IF(A229=Blatt1!$B$1,B229,"")</f>
        <v/>
      </c>
    </row>
    <row r="230" spans="1:3" x14ac:dyDescent="0.35">
      <c r="A230" s="4" t="s">
        <v>189</v>
      </c>
      <c r="B230" s="4" t="s">
        <v>2</v>
      </c>
      <c r="C230" t="str">
        <f>IF(A230=Blatt1!$B$1,B230,"")</f>
        <v/>
      </c>
    </row>
    <row r="231" spans="1:3" x14ac:dyDescent="0.35">
      <c r="A231" s="4" t="s">
        <v>189</v>
      </c>
      <c r="B231" s="4" t="s">
        <v>276</v>
      </c>
      <c r="C231" t="str">
        <f>IF(A231=Blatt1!$B$1,B231,"")</f>
        <v/>
      </c>
    </row>
    <row r="232" spans="1:3" x14ac:dyDescent="0.35">
      <c r="A232" s="4" t="s">
        <v>189</v>
      </c>
      <c r="B232" s="4" t="s">
        <v>171</v>
      </c>
      <c r="C232" t="str">
        <f>IF(A232=Blatt1!$B$1,B232,"")</f>
        <v/>
      </c>
    </row>
    <row r="233" spans="1:3" x14ac:dyDescent="0.35">
      <c r="A233" s="4" t="s">
        <v>189</v>
      </c>
      <c r="B233" s="4" t="s">
        <v>172</v>
      </c>
      <c r="C233" t="str">
        <f>IF(A233=Blatt1!$B$1,B233,"")</f>
        <v/>
      </c>
    </row>
    <row r="234" spans="1:3" x14ac:dyDescent="0.35">
      <c r="A234" s="4" t="s">
        <v>189</v>
      </c>
      <c r="B234" s="4" t="s">
        <v>173</v>
      </c>
      <c r="C234" t="str">
        <f>IF(A234=Blatt1!$B$1,B234,"")</f>
        <v/>
      </c>
    </row>
    <row r="235" spans="1:3" x14ac:dyDescent="0.35">
      <c r="A235" s="4" t="s">
        <v>189</v>
      </c>
      <c r="B235" s="4" t="s">
        <v>250</v>
      </c>
      <c r="C235" t="str">
        <f>IF(A235=Blatt1!$B$1,B235,"")</f>
        <v/>
      </c>
    </row>
    <row r="236" spans="1:3" x14ac:dyDescent="0.35">
      <c r="A236" s="4" t="s">
        <v>189</v>
      </c>
      <c r="B236" s="4" t="s">
        <v>179</v>
      </c>
      <c r="C236" t="str">
        <f>IF(A236=Blatt1!$B$1,B236,"")</f>
        <v/>
      </c>
    </row>
    <row r="237" spans="1:3" x14ac:dyDescent="0.35">
      <c r="A237" s="4" t="s">
        <v>189</v>
      </c>
      <c r="B237" s="4" t="s">
        <v>181</v>
      </c>
      <c r="C237" t="str">
        <f>IF(A237=Blatt1!$B$1,B237,"")</f>
        <v/>
      </c>
    </row>
    <row r="238" spans="1:3" x14ac:dyDescent="0.35">
      <c r="A238" s="4" t="s">
        <v>189</v>
      </c>
      <c r="B238" s="4" t="s">
        <v>256</v>
      </c>
      <c r="C238" t="str">
        <f>IF(A238=Blatt1!$B$1,B238,"")</f>
        <v/>
      </c>
    </row>
    <row r="239" spans="1:3" x14ac:dyDescent="0.35">
      <c r="A239" s="4" t="s">
        <v>190</v>
      </c>
      <c r="B239" s="4" t="s">
        <v>24</v>
      </c>
      <c r="C239" t="str">
        <f>IF(A239=Blatt1!$B$1,B239,"")</f>
        <v/>
      </c>
    </row>
    <row r="240" spans="1:3" x14ac:dyDescent="0.35">
      <c r="A240" s="4" t="s">
        <v>190</v>
      </c>
      <c r="B240" s="4" t="s">
        <v>21</v>
      </c>
      <c r="C240" t="str">
        <f>IF(A240=Blatt1!$B$1,B240,"")</f>
        <v/>
      </c>
    </row>
    <row r="241" spans="1:3" x14ac:dyDescent="0.35">
      <c r="A241" s="4" t="s">
        <v>190</v>
      </c>
      <c r="B241" s="4" t="s">
        <v>17</v>
      </c>
      <c r="C241" t="str">
        <f>IF(A241=Blatt1!$B$1,B241,"")</f>
        <v/>
      </c>
    </row>
    <row r="242" spans="1:3" x14ac:dyDescent="0.35">
      <c r="A242" s="4" t="s">
        <v>190</v>
      </c>
      <c r="B242" s="4" t="s">
        <v>16</v>
      </c>
      <c r="C242" t="str">
        <f>IF(A242=Blatt1!$B$1,B242,"")</f>
        <v/>
      </c>
    </row>
    <row r="243" spans="1:3" x14ac:dyDescent="0.35">
      <c r="A243" s="4" t="s">
        <v>190</v>
      </c>
      <c r="B243" s="4" t="s">
        <v>279</v>
      </c>
      <c r="C243" t="str">
        <f>IF(A243=Blatt1!$B$1,B243,"")</f>
        <v/>
      </c>
    </row>
    <row r="244" spans="1:3" x14ac:dyDescent="0.35">
      <c r="A244" s="4" t="s">
        <v>190</v>
      </c>
      <c r="B244" s="4" t="s">
        <v>280</v>
      </c>
      <c r="C244" t="str">
        <f>IF(A244=Blatt1!$B$1,B244,"")</f>
        <v/>
      </c>
    </row>
    <row r="245" spans="1:3" x14ac:dyDescent="0.35">
      <c r="A245" s="4" t="s">
        <v>190</v>
      </c>
      <c r="B245" s="4" t="s">
        <v>168</v>
      </c>
      <c r="C245" t="str">
        <f>IF(A245=Blatt1!$B$1,B245,"")</f>
        <v/>
      </c>
    </row>
    <row r="246" spans="1:3" x14ac:dyDescent="0.35">
      <c r="A246" s="4" t="s">
        <v>190</v>
      </c>
      <c r="B246" s="4" t="s">
        <v>169</v>
      </c>
      <c r="C246" t="str">
        <f>IF(A246=Blatt1!$B$1,B246,"")</f>
        <v/>
      </c>
    </row>
    <row r="247" spans="1:3" x14ac:dyDescent="0.35">
      <c r="A247" s="4" t="s">
        <v>190</v>
      </c>
      <c r="B247" s="4" t="s">
        <v>165</v>
      </c>
      <c r="C247" t="str">
        <f>IF(A247=Blatt1!$B$1,B247,"")</f>
        <v/>
      </c>
    </row>
    <row r="248" spans="1:3" x14ac:dyDescent="0.35">
      <c r="A248" s="4" t="s">
        <v>190</v>
      </c>
      <c r="B248" s="4" t="s">
        <v>166</v>
      </c>
      <c r="C248" t="str">
        <f>IF(A248=Blatt1!$B$1,B248,"")</f>
        <v/>
      </c>
    </row>
    <row r="249" spans="1:3" x14ac:dyDescent="0.35">
      <c r="A249" s="4" t="s">
        <v>190</v>
      </c>
      <c r="B249" s="4" t="s">
        <v>167</v>
      </c>
      <c r="C249" t="str">
        <f>IF(A249=Blatt1!$B$1,B249,"")</f>
        <v/>
      </c>
    </row>
    <row r="250" spans="1:3" x14ac:dyDescent="0.35">
      <c r="A250" s="4" t="s">
        <v>190</v>
      </c>
      <c r="B250" s="4" t="s">
        <v>1</v>
      </c>
      <c r="C250" t="str">
        <f>IF(A250=Blatt1!$B$1,B250,"")</f>
        <v/>
      </c>
    </row>
    <row r="251" spans="1:3" x14ac:dyDescent="0.35">
      <c r="A251" s="4" t="s">
        <v>190</v>
      </c>
      <c r="B251" s="4" t="s">
        <v>22</v>
      </c>
      <c r="C251" t="str">
        <f>IF(A251=Blatt1!$B$1,B251,"")</f>
        <v/>
      </c>
    </row>
    <row r="252" spans="1:3" x14ac:dyDescent="0.35">
      <c r="A252" s="4" t="s">
        <v>190</v>
      </c>
      <c r="B252" s="4" t="s">
        <v>2</v>
      </c>
      <c r="C252" t="str">
        <f>IF(A252=Blatt1!$B$1,B252,"")</f>
        <v/>
      </c>
    </row>
    <row r="253" spans="1:3" x14ac:dyDescent="0.35">
      <c r="A253" s="4" t="s">
        <v>190</v>
      </c>
      <c r="B253" s="4" t="s">
        <v>276</v>
      </c>
      <c r="C253" t="str">
        <f>IF(A253=Blatt1!$B$1,B253,"")</f>
        <v/>
      </c>
    </row>
    <row r="254" spans="1:3" x14ac:dyDescent="0.35">
      <c r="A254" s="4" t="s">
        <v>190</v>
      </c>
      <c r="B254" s="4" t="s">
        <v>171</v>
      </c>
      <c r="C254" t="str">
        <f>IF(A254=Blatt1!$B$1,B254,"")</f>
        <v/>
      </c>
    </row>
    <row r="255" spans="1:3" x14ac:dyDescent="0.35">
      <c r="A255" s="4" t="s">
        <v>190</v>
      </c>
      <c r="B255" s="4" t="s">
        <v>172</v>
      </c>
      <c r="C255" t="str">
        <f>IF(A255=Blatt1!$B$1,B255,"")</f>
        <v/>
      </c>
    </row>
    <row r="256" spans="1:3" x14ac:dyDescent="0.35">
      <c r="A256" s="4" t="s">
        <v>190</v>
      </c>
      <c r="B256" s="4" t="s">
        <v>173</v>
      </c>
      <c r="C256" t="str">
        <f>IF(A256=Blatt1!$B$1,B256,"")</f>
        <v/>
      </c>
    </row>
    <row r="257" spans="1:3" x14ac:dyDescent="0.35">
      <c r="A257" s="4" t="s">
        <v>190</v>
      </c>
      <c r="B257" s="4" t="s">
        <v>250</v>
      </c>
      <c r="C257" t="str">
        <f>IF(A257=Blatt1!$B$1,B257,"")</f>
        <v/>
      </c>
    </row>
    <row r="258" spans="1:3" x14ac:dyDescent="0.35">
      <c r="A258" s="4" t="s">
        <v>190</v>
      </c>
      <c r="B258" s="4" t="s">
        <v>179</v>
      </c>
      <c r="C258" t="str">
        <f>IF(A258=Blatt1!$B$1,B258,"")</f>
        <v/>
      </c>
    </row>
    <row r="259" spans="1:3" x14ac:dyDescent="0.35">
      <c r="A259" s="4" t="s">
        <v>190</v>
      </c>
      <c r="B259" s="4" t="s">
        <v>181</v>
      </c>
      <c r="C259" t="str">
        <f>IF(A259=Blatt1!$B$1,B259,"")</f>
        <v/>
      </c>
    </row>
    <row r="260" spans="1:3" x14ac:dyDescent="0.35">
      <c r="A260" s="4" t="s">
        <v>190</v>
      </c>
      <c r="B260" s="4" t="s">
        <v>256</v>
      </c>
      <c r="C260" t="str">
        <f>IF(A260=Blatt1!$B$1,B260,"")</f>
        <v/>
      </c>
    </row>
    <row r="261" spans="1:3" x14ac:dyDescent="0.35">
      <c r="A261" s="4" t="s">
        <v>191</v>
      </c>
      <c r="B261" s="4" t="s">
        <v>24</v>
      </c>
      <c r="C261" t="str">
        <f>IF(A261=Blatt1!$B$1,B261,"")</f>
        <v/>
      </c>
    </row>
    <row r="262" spans="1:3" x14ac:dyDescent="0.35">
      <c r="A262" s="4" t="s">
        <v>191</v>
      </c>
      <c r="B262" s="4" t="s">
        <v>21</v>
      </c>
      <c r="C262" t="str">
        <f>IF(A262=Blatt1!$B$1,B262,"")</f>
        <v/>
      </c>
    </row>
    <row r="263" spans="1:3" x14ac:dyDescent="0.35">
      <c r="A263" s="4" t="s">
        <v>191</v>
      </c>
      <c r="B263" s="4" t="s">
        <v>17</v>
      </c>
      <c r="C263" t="str">
        <f>IF(A263=Blatt1!$B$1,B263,"")</f>
        <v/>
      </c>
    </row>
    <row r="264" spans="1:3" x14ac:dyDescent="0.35">
      <c r="A264" s="4" t="s">
        <v>191</v>
      </c>
      <c r="B264" s="4" t="s">
        <v>16</v>
      </c>
      <c r="C264" t="str">
        <f>IF(A264=Blatt1!$B$1,B264,"")</f>
        <v/>
      </c>
    </row>
    <row r="265" spans="1:3" x14ac:dyDescent="0.35">
      <c r="A265" s="4" t="s">
        <v>191</v>
      </c>
      <c r="B265" s="4" t="s">
        <v>279</v>
      </c>
      <c r="C265" t="str">
        <f>IF(A265=Blatt1!$B$1,B265,"")</f>
        <v/>
      </c>
    </row>
    <row r="266" spans="1:3" x14ac:dyDescent="0.35">
      <c r="A266" s="4" t="s">
        <v>191</v>
      </c>
      <c r="B266" s="4" t="s">
        <v>280</v>
      </c>
      <c r="C266" t="str">
        <f>IF(A266=Blatt1!$B$1,B266,"")</f>
        <v/>
      </c>
    </row>
    <row r="267" spans="1:3" x14ac:dyDescent="0.35">
      <c r="A267" s="4" t="s">
        <v>191</v>
      </c>
      <c r="B267" s="4" t="s">
        <v>168</v>
      </c>
      <c r="C267" t="str">
        <f>IF(A267=Blatt1!$B$1,B267,"")</f>
        <v/>
      </c>
    </row>
    <row r="268" spans="1:3" x14ac:dyDescent="0.35">
      <c r="A268" s="4" t="s">
        <v>191</v>
      </c>
      <c r="B268" s="4" t="s">
        <v>169</v>
      </c>
      <c r="C268" t="str">
        <f>IF(A268=Blatt1!$B$1,B268,"")</f>
        <v/>
      </c>
    </row>
    <row r="269" spans="1:3" x14ac:dyDescent="0.35">
      <c r="A269" s="4" t="s">
        <v>191</v>
      </c>
      <c r="B269" s="4" t="s">
        <v>165</v>
      </c>
      <c r="C269" t="str">
        <f>IF(A269=Blatt1!$B$1,B269,"")</f>
        <v/>
      </c>
    </row>
    <row r="270" spans="1:3" x14ac:dyDescent="0.35">
      <c r="A270" s="4" t="s">
        <v>191</v>
      </c>
      <c r="B270" s="4" t="s">
        <v>166</v>
      </c>
      <c r="C270" t="str">
        <f>IF(A270=Blatt1!$B$1,B270,"")</f>
        <v/>
      </c>
    </row>
    <row r="271" spans="1:3" x14ac:dyDescent="0.35">
      <c r="A271" s="4" t="s">
        <v>191</v>
      </c>
      <c r="B271" s="4" t="s">
        <v>167</v>
      </c>
      <c r="C271" t="str">
        <f>IF(A271=Blatt1!$B$1,B271,"")</f>
        <v/>
      </c>
    </row>
    <row r="272" spans="1:3" x14ac:dyDescent="0.35">
      <c r="A272" s="4" t="s">
        <v>191</v>
      </c>
      <c r="B272" s="4" t="s">
        <v>1</v>
      </c>
      <c r="C272" t="str">
        <f>IF(A272=Blatt1!$B$1,B272,"")</f>
        <v/>
      </c>
    </row>
    <row r="273" spans="1:3" x14ac:dyDescent="0.35">
      <c r="A273" s="4" t="s">
        <v>191</v>
      </c>
      <c r="B273" s="4" t="s">
        <v>22</v>
      </c>
      <c r="C273" t="str">
        <f>IF(A273=Blatt1!$B$1,B273,"")</f>
        <v/>
      </c>
    </row>
    <row r="274" spans="1:3" x14ac:dyDescent="0.35">
      <c r="A274" s="4" t="s">
        <v>191</v>
      </c>
      <c r="B274" s="4" t="s">
        <v>2</v>
      </c>
      <c r="C274" t="str">
        <f>IF(A274=Blatt1!$B$1,B274,"")</f>
        <v/>
      </c>
    </row>
    <row r="275" spans="1:3" x14ac:dyDescent="0.35">
      <c r="A275" s="4" t="s">
        <v>191</v>
      </c>
      <c r="B275" s="4" t="s">
        <v>276</v>
      </c>
      <c r="C275" t="str">
        <f>IF(A275=Blatt1!$B$1,B275,"")</f>
        <v/>
      </c>
    </row>
    <row r="276" spans="1:3" x14ac:dyDescent="0.35">
      <c r="A276" s="4" t="s">
        <v>191</v>
      </c>
      <c r="B276" s="4" t="s">
        <v>171</v>
      </c>
      <c r="C276" t="str">
        <f>IF(A276=Blatt1!$B$1,B276,"")</f>
        <v/>
      </c>
    </row>
    <row r="277" spans="1:3" x14ac:dyDescent="0.35">
      <c r="A277" s="4" t="s">
        <v>191</v>
      </c>
      <c r="B277" s="4" t="s">
        <v>172</v>
      </c>
      <c r="C277" t="str">
        <f>IF(A277=Blatt1!$B$1,B277,"")</f>
        <v/>
      </c>
    </row>
    <row r="278" spans="1:3" x14ac:dyDescent="0.35">
      <c r="A278" s="4" t="s">
        <v>191</v>
      </c>
      <c r="B278" s="4" t="s">
        <v>173</v>
      </c>
      <c r="C278" t="str">
        <f>IF(A278=Blatt1!$B$1,B278,"")</f>
        <v/>
      </c>
    </row>
    <row r="279" spans="1:3" x14ac:dyDescent="0.35">
      <c r="A279" s="4" t="s">
        <v>191</v>
      </c>
      <c r="B279" s="4" t="s">
        <v>250</v>
      </c>
      <c r="C279" t="str">
        <f>IF(A279=Blatt1!$B$1,B279,"")</f>
        <v/>
      </c>
    </row>
    <row r="280" spans="1:3" x14ac:dyDescent="0.35">
      <c r="A280" s="4" t="s">
        <v>191</v>
      </c>
      <c r="B280" s="4" t="s">
        <v>179</v>
      </c>
      <c r="C280" t="str">
        <f>IF(A280=Blatt1!$B$1,B280,"")</f>
        <v/>
      </c>
    </row>
    <row r="281" spans="1:3" x14ac:dyDescent="0.35">
      <c r="A281" s="4" t="s">
        <v>191</v>
      </c>
      <c r="B281" s="4" t="s">
        <v>181</v>
      </c>
      <c r="C281" t="str">
        <f>IF(A281=Blatt1!$B$1,B281,"")</f>
        <v/>
      </c>
    </row>
    <row r="282" spans="1:3" x14ac:dyDescent="0.35">
      <c r="A282" s="4" t="s">
        <v>191</v>
      </c>
      <c r="B282" s="4" t="s">
        <v>256</v>
      </c>
      <c r="C282" t="str">
        <f>IF(A282=Blatt1!$B$1,B282,"")</f>
        <v/>
      </c>
    </row>
    <row r="283" spans="1:3" x14ac:dyDescent="0.35">
      <c r="A283" s="4" t="s">
        <v>192</v>
      </c>
      <c r="B283" s="4" t="s">
        <v>24</v>
      </c>
      <c r="C283" t="str">
        <f>IF(A283=Blatt1!$B$1,B283,"")</f>
        <v/>
      </c>
    </row>
    <row r="284" spans="1:3" x14ac:dyDescent="0.35">
      <c r="A284" s="4" t="s">
        <v>192</v>
      </c>
      <c r="B284" s="4" t="s">
        <v>21</v>
      </c>
      <c r="C284" t="str">
        <f>IF(A284=Blatt1!$B$1,B284,"")</f>
        <v/>
      </c>
    </row>
    <row r="285" spans="1:3" x14ac:dyDescent="0.35">
      <c r="A285" s="4" t="s">
        <v>192</v>
      </c>
      <c r="B285" s="4" t="s">
        <v>17</v>
      </c>
      <c r="C285" t="str">
        <f>IF(A285=Blatt1!$B$1,B285,"")</f>
        <v/>
      </c>
    </row>
    <row r="286" spans="1:3" x14ac:dyDescent="0.35">
      <c r="A286" s="4" t="s">
        <v>192</v>
      </c>
      <c r="B286" s="4" t="s">
        <v>16</v>
      </c>
      <c r="C286" t="str">
        <f>IF(A286=Blatt1!$B$1,B286,"")</f>
        <v/>
      </c>
    </row>
    <row r="287" spans="1:3" x14ac:dyDescent="0.35">
      <c r="A287" s="4" t="s">
        <v>192</v>
      </c>
      <c r="B287" s="4" t="s">
        <v>279</v>
      </c>
      <c r="C287" t="str">
        <f>IF(A287=Blatt1!$B$1,B287,"")</f>
        <v/>
      </c>
    </row>
    <row r="288" spans="1:3" x14ac:dyDescent="0.35">
      <c r="A288" s="4" t="s">
        <v>192</v>
      </c>
      <c r="B288" s="4" t="s">
        <v>280</v>
      </c>
      <c r="C288" t="str">
        <f>IF(A288=Blatt1!$B$1,B288,"")</f>
        <v/>
      </c>
    </row>
    <row r="289" spans="1:3" x14ac:dyDescent="0.35">
      <c r="A289" s="4" t="s">
        <v>192</v>
      </c>
      <c r="B289" s="4" t="s">
        <v>168</v>
      </c>
      <c r="C289" t="str">
        <f>IF(A289=Blatt1!$B$1,B289,"")</f>
        <v/>
      </c>
    </row>
    <row r="290" spans="1:3" x14ac:dyDescent="0.35">
      <c r="A290" s="4" t="s">
        <v>192</v>
      </c>
      <c r="B290" s="4" t="s">
        <v>169</v>
      </c>
      <c r="C290" t="str">
        <f>IF(A290=Blatt1!$B$1,B290,"")</f>
        <v/>
      </c>
    </row>
    <row r="291" spans="1:3" x14ac:dyDescent="0.35">
      <c r="A291" s="4" t="s">
        <v>192</v>
      </c>
      <c r="B291" s="4" t="s">
        <v>165</v>
      </c>
      <c r="C291" t="str">
        <f>IF(A291=Blatt1!$B$1,B291,"")</f>
        <v/>
      </c>
    </row>
    <row r="292" spans="1:3" x14ac:dyDescent="0.35">
      <c r="A292" s="4" t="s">
        <v>192</v>
      </c>
      <c r="B292" s="4" t="s">
        <v>166</v>
      </c>
      <c r="C292" t="str">
        <f>IF(A292=Blatt1!$B$1,B292,"")</f>
        <v/>
      </c>
    </row>
    <row r="293" spans="1:3" x14ac:dyDescent="0.35">
      <c r="A293" s="4" t="s">
        <v>192</v>
      </c>
      <c r="B293" s="4" t="s">
        <v>167</v>
      </c>
      <c r="C293" t="str">
        <f>IF(A293=Blatt1!$B$1,B293,"")</f>
        <v/>
      </c>
    </row>
    <row r="294" spans="1:3" x14ac:dyDescent="0.35">
      <c r="A294" s="4" t="s">
        <v>192</v>
      </c>
      <c r="B294" s="4" t="s">
        <v>1</v>
      </c>
      <c r="C294" t="str">
        <f>IF(A294=Blatt1!$B$1,B294,"")</f>
        <v/>
      </c>
    </row>
    <row r="295" spans="1:3" x14ac:dyDescent="0.35">
      <c r="A295" s="4" t="s">
        <v>192</v>
      </c>
      <c r="B295" s="4" t="s">
        <v>22</v>
      </c>
      <c r="C295" t="str">
        <f>IF(A295=Blatt1!$B$1,B295,"")</f>
        <v/>
      </c>
    </row>
    <row r="296" spans="1:3" x14ac:dyDescent="0.35">
      <c r="A296" s="4" t="s">
        <v>192</v>
      </c>
      <c r="B296" s="4" t="s">
        <v>2</v>
      </c>
      <c r="C296" t="str">
        <f>IF(A296=Blatt1!$B$1,B296,"")</f>
        <v/>
      </c>
    </row>
    <row r="297" spans="1:3" x14ac:dyDescent="0.35">
      <c r="A297" s="4" t="s">
        <v>192</v>
      </c>
      <c r="B297" s="4" t="s">
        <v>276</v>
      </c>
      <c r="C297" t="str">
        <f>IF(A297=Blatt1!$B$1,B297,"")</f>
        <v/>
      </c>
    </row>
    <row r="298" spans="1:3" x14ac:dyDescent="0.35">
      <c r="A298" s="4" t="s">
        <v>192</v>
      </c>
      <c r="B298" s="4" t="s">
        <v>171</v>
      </c>
      <c r="C298" t="str">
        <f>IF(A298=Blatt1!$B$1,B298,"")</f>
        <v/>
      </c>
    </row>
    <row r="299" spans="1:3" x14ac:dyDescent="0.35">
      <c r="A299" s="4" t="s">
        <v>192</v>
      </c>
      <c r="B299" s="4" t="s">
        <v>172</v>
      </c>
      <c r="C299" t="str">
        <f>IF(A299=Blatt1!$B$1,B299,"")</f>
        <v/>
      </c>
    </row>
    <row r="300" spans="1:3" x14ac:dyDescent="0.35">
      <c r="A300" s="4" t="s">
        <v>192</v>
      </c>
      <c r="B300" s="4" t="s">
        <v>173</v>
      </c>
      <c r="C300" t="str">
        <f>IF(A300=Blatt1!$B$1,B300,"")</f>
        <v/>
      </c>
    </row>
    <row r="301" spans="1:3" x14ac:dyDescent="0.35">
      <c r="A301" s="4" t="s">
        <v>192</v>
      </c>
      <c r="B301" s="4" t="s">
        <v>250</v>
      </c>
      <c r="C301" t="str">
        <f>IF(A301=Blatt1!$B$1,B301,"")</f>
        <v/>
      </c>
    </row>
    <row r="302" spans="1:3" x14ac:dyDescent="0.35">
      <c r="A302" s="4" t="s">
        <v>192</v>
      </c>
      <c r="B302" s="4" t="s">
        <v>179</v>
      </c>
      <c r="C302" t="str">
        <f>IF(A302=Blatt1!$B$1,B302,"")</f>
        <v/>
      </c>
    </row>
    <row r="303" spans="1:3" x14ac:dyDescent="0.35">
      <c r="A303" s="4" t="s">
        <v>192</v>
      </c>
      <c r="B303" s="4" t="s">
        <v>181</v>
      </c>
      <c r="C303" t="str">
        <f>IF(A303=Blatt1!$B$1,B303,"")</f>
        <v/>
      </c>
    </row>
    <row r="304" spans="1:3" x14ac:dyDescent="0.35">
      <c r="A304" s="4" t="s">
        <v>192</v>
      </c>
      <c r="B304" s="4" t="s">
        <v>256</v>
      </c>
      <c r="C304" t="str">
        <f>IF(A304=Blatt1!$B$1,B304,"")</f>
        <v/>
      </c>
    </row>
    <row r="305" spans="1:3" x14ac:dyDescent="0.35">
      <c r="A305" s="4" t="s">
        <v>163</v>
      </c>
      <c r="B305" s="4" t="s">
        <v>24</v>
      </c>
      <c r="C305" t="str">
        <f>IF(A305=Blatt1!$B$1,B305,"")</f>
        <v/>
      </c>
    </row>
    <row r="306" spans="1:3" x14ac:dyDescent="0.35">
      <c r="A306" s="4" t="s">
        <v>163</v>
      </c>
      <c r="B306" s="4" t="s">
        <v>21</v>
      </c>
      <c r="C306" t="str">
        <f>IF(A306=Blatt1!$B$1,B306,"")</f>
        <v/>
      </c>
    </row>
    <row r="307" spans="1:3" x14ac:dyDescent="0.35">
      <c r="A307" s="4" t="s">
        <v>163</v>
      </c>
      <c r="B307" s="4" t="s">
        <v>17</v>
      </c>
      <c r="C307" t="str">
        <f>IF(A307=Blatt1!$B$1,B307,"")</f>
        <v/>
      </c>
    </row>
    <row r="308" spans="1:3" x14ac:dyDescent="0.35">
      <c r="A308" s="4" t="s">
        <v>163</v>
      </c>
      <c r="B308" s="4" t="s">
        <v>16</v>
      </c>
      <c r="C308" t="str">
        <f>IF(A308=Blatt1!$B$1,B308,"")</f>
        <v/>
      </c>
    </row>
    <row r="309" spans="1:3" x14ac:dyDescent="0.35">
      <c r="A309" s="4" t="s">
        <v>163</v>
      </c>
      <c r="B309" s="4" t="s">
        <v>279</v>
      </c>
      <c r="C309" t="str">
        <f>IF(A309=Blatt1!$B$1,B309,"")</f>
        <v/>
      </c>
    </row>
    <row r="310" spans="1:3" x14ac:dyDescent="0.35">
      <c r="A310" s="4" t="s">
        <v>163</v>
      </c>
      <c r="B310" s="4" t="s">
        <v>280</v>
      </c>
      <c r="C310" t="str">
        <f>IF(A310=Blatt1!$B$1,B310,"")</f>
        <v/>
      </c>
    </row>
    <row r="311" spans="1:3" x14ac:dyDescent="0.35">
      <c r="A311" s="4" t="s">
        <v>163</v>
      </c>
      <c r="B311" s="4" t="s">
        <v>168</v>
      </c>
      <c r="C311" t="str">
        <f>IF(A311=Blatt1!$B$1,B311,"")</f>
        <v/>
      </c>
    </row>
    <row r="312" spans="1:3" x14ac:dyDescent="0.35">
      <c r="A312" s="4" t="s">
        <v>163</v>
      </c>
      <c r="B312" s="4" t="s">
        <v>169</v>
      </c>
      <c r="C312" t="str">
        <f>IF(A312=Blatt1!$B$1,B312,"")</f>
        <v/>
      </c>
    </row>
    <row r="313" spans="1:3" x14ac:dyDescent="0.35">
      <c r="A313" s="4" t="s">
        <v>163</v>
      </c>
      <c r="B313" s="4" t="s">
        <v>165</v>
      </c>
      <c r="C313" t="str">
        <f>IF(A313=Blatt1!$B$1,B313,"")</f>
        <v/>
      </c>
    </row>
    <row r="314" spans="1:3" x14ac:dyDescent="0.35">
      <c r="A314" s="4" t="s">
        <v>163</v>
      </c>
      <c r="B314" s="4" t="s">
        <v>166</v>
      </c>
      <c r="C314" t="str">
        <f>IF(A314=Blatt1!$B$1,B314,"")</f>
        <v/>
      </c>
    </row>
    <row r="315" spans="1:3" x14ac:dyDescent="0.35">
      <c r="A315" s="4" t="s">
        <v>163</v>
      </c>
      <c r="B315" s="4" t="s">
        <v>167</v>
      </c>
      <c r="C315" t="str">
        <f>IF(A315=Blatt1!$B$1,B315,"")</f>
        <v/>
      </c>
    </row>
    <row r="316" spans="1:3" x14ac:dyDescent="0.35">
      <c r="A316" s="4" t="s">
        <v>163</v>
      </c>
      <c r="B316" s="4" t="s">
        <v>1</v>
      </c>
      <c r="C316" t="str">
        <f>IF(A316=Blatt1!$B$1,B316,"")</f>
        <v/>
      </c>
    </row>
    <row r="317" spans="1:3" x14ac:dyDescent="0.35">
      <c r="A317" s="4" t="s">
        <v>163</v>
      </c>
      <c r="B317" s="4" t="s">
        <v>22</v>
      </c>
      <c r="C317" t="str">
        <f>IF(A317=Blatt1!$B$1,B317,"")</f>
        <v/>
      </c>
    </row>
    <row r="318" spans="1:3" x14ac:dyDescent="0.35">
      <c r="A318" s="4" t="s">
        <v>163</v>
      </c>
      <c r="B318" s="4" t="s">
        <v>2</v>
      </c>
      <c r="C318" t="str">
        <f>IF(A318=Blatt1!$B$1,B318,"")</f>
        <v/>
      </c>
    </row>
    <row r="319" spans="1:3" x14ac:dyDescent="0.35">
      <c r="A319" s="4" t="s">
        <v>163</v>
      </c>
      <c r="B319" s="4" t="s">
        <v>276</v>
      </c>
      <c r="C319" t="str">
        <f>IF(A319=Blatt1!$B$1,B319,"")</f>
        <v/>
      </c>
    </row>
    <row r="320" spans="1:3" x14ac:dyDescent="0.35">
      <c r="A320" s="4" t="s">
        <v>163</v>
      </c>
      <c r="B320" s="4" t="s">
        <v>171</v>
      </c>
      <c r="C320" t="str">
        <f>IF(A320=Blatt1!$B$1,B320,"")</f>
        <v/>
      </c>
    </row>
    <row r="321" spans="1:3" x14ac:dyDescent="0.35">
      <c r="A321" s="4" t="s">
        <v>163</v>
      </c>
      <c r="B321" s="4" t="s">
        <v>172</v>
      </c>
      <c r="C321" t="str">
        <f>IF(A321=Blatt1!$B$1,B321,"")</f>
        <v/>
      </c>
    </row>
    <row r="322" spans="1:3" x14ac:dyDescent="0.35">
      <c r="A322" s="4" t="s">
        <v>163</v>
      </c>
      <c r="B322" s="4" t="s">
        <v>173</v>
      </c>
      <c r="C322" t="str">
        <f>IF(A322=Blatt1!$B$1,B322,"")</f>
        <v/>
      </c>
    </row>
    <row r="323" spans="1:3" x14ac:dyDescent="0.35">
      <c r="A323" s="4" t="s">
        <v>163</v>
      </c>
      <c r="B323" s="4" t="s">
        <v>250</v>
      </c>
      <c r="C323" t="str">
        <f>IF(A323=Blatt1!$B$1,B323,"")</f>
        <v/>
      </c>
    </row>
    <row r="324" spans="1:3" x14ac:dyDescent="0.35">
      <c r="A324" s="4" t="s">
        <v>163</v>
      </c>
      <c r="B324" s="4" t="s">
        <v>179</v>
      </c>
      <c r="C324" t="str">
        <f>IF(A324=Blatt1!$B$1,B324,"")</f>
        <v/>
      </c>
    </row>
    <row r="325" spans="1:3" x14ac:dyDescent="0.35">
      <c r="A325" s="4" t="s">
        <v>163</v>
      </c>
      <c r="B325" s="4" t="s">
        <v>181</v>
      </c>
      <c r="C325" t="str">
        <f>IF(A325=Blatt1!$B$1,B325,"")</f>
        <v/>
      </c>
    </row>
    <row r="326" spans="1:3" x14ac:dyDescent="0.35">
      <c r="A326" s="4" t="s">
        <v>163</v>
      </c>
      <c r="B326" s="4" t="s">
        <v>256</v>
      </c>
      <c r="C326" t="str">
        <f>IF(A326=Blatt1!$B$1,B326,"")</f>
        <v/>
      </c>
    </row>
    <row r="327" spans="1:3" x14ac:dyDescent="0.35">
      <c r="A327" s="4" t="s">
        <v>193</v>
      </c>
      <c r="B327" s="4" t="s">
        <v>24</v>
      </c>
      <c r="C327" t="str">
        <f>IF(A327=Blatt1!$B$1,B327,"")</f>
        <v/>
      </c>
    </row>
    <row r="328" spans="1:3" x14ac:dyDescent="0.35">
      <c r="A328" s="4" t="s">
        <v>193</v>
      </c>
      <c r="B328" s="4" t="s">
        <v>21</v>
      </c>
      <c r="C328" t="str">
        <f>IF(A328=Blatt1!$B$1,B328,"")</f>
        <v/>
      </c>
    </row>
    <row r="329" spans="1:3" x14ac:dyDescent="0.35">
      <c r="A329" s="4" t="s">
        <v>193</v>
      </c>
      <c r="B329" s="4" t="s">
        <v>17</v>
      </c>
      <c r="C329" t="str">
        <f>IF(A329=Blatt1!$B$1,B329,"")</f>
        <v/>
      </c>
    </row>
    <row r="330" spans="1:3" x14ac:dyDescent="0.35">
      <c r="A330" s="4" t="s">
        <v>193</v>
      </c>
      <c r="B330" s="4" t="s">
        <v>16</v>
      </c>
      <c r="C330" t="str">
        <f>IF(A330=Blatt1!$B$1,B330,"")</f>
        <v/>
      </c>
    </row>
    <row r="331" spans="1:3" x14ac:dyDescent="0.35">
      <c r="A331" s="4" t="s">
        <v>193</v>
      </c>
      <c r="B331" s="4" t="s">
        <v>279</v>
      </c>
      <c r="C331" t="str">
        <f>IF(A331=Blatt1!$B$1,B331,"")</f>
        <v/>
      </c>
    </row>
    <row r="332" spans="1:3" x14ac:dyDescent="0.35">
      <c r="A332" s="4" t="s">
        <v>193</v>
      </c>
      <c r="B332" s="4" t="s">
        <v>280</v>
      </c>
      <c r="C332" t="str">
        <f>IF(A332=Blatt1!$B$1,B332,"")</f>
        <v/>
      </c>
    </row>
    <row r="333" spans="1:3" x14ac:dyDescent="0.35">
      <c r="A333" s="4" t="s">
        <v>193</v>
      </c>
      <c r="B333" s="4" t="s">
        <v>168</v>
      </c>
      <c r="C333" t="str">
        <f>IF(A333=Blatt1!$B$1,B333,"")</f>
        <v/>
      </c>
    </row>
    <row r="334" spans="1:3" x14ac:dyDescent="0.35">
      <c r="A334" s="4" t="s">
        <v>193</v>
      </c>
      <c r="B334" s="4" t="s">
        <v>169</v>
      </c>
      <c r="C334" t="str">
        <f>IF(A334=Blatt1!$B$1,B334,"")</f>
        <v/>
      </c>
    </row>
    <row r="335" spans="1:3" x14ac:dyDescent="0.35">
      <c r="A335" s="4" t="s">
        <v>193</v>
      </c>
      <c r="B335" s="4" t="s">
        <v>165</v>
      </c>
      <c r="C335" t="str">
        <f>IF(A335=Blatt1!$B$1,B335,"")</f>
        <v/>
      </c>
    </row>
    <row r="336" spans="1:3" x14ac:dyDescent="0.35">
      <c r="A336" s="4" t="s">
        <v>193</v>
      </c>
      <c r="B336" s="4" t="s">
        <v>166</v>
      </c>
      <c r="C336" t="str">
        <f>IF(A336=Blatt1!$B$1,B336,"")</f>
        <v/>
      </c>
    </row>
    <row r="337" spans="1:3" x14ac:dyDescent="0.35">
      <c r="A337" s="4" t="s">
        <v>193</v>
      </c>
      <c r="B337" s="4" t="s">
        <v>167</v>
      </c>
      <c r="C337" t="str">
        <f>IF(A337=Blatt1!$B$1,B337,"")</f>
        <v/>
      </c>
    </row>
    <row r="338" spans="1:3" x14ac:dyDescent="0.35">
      <c r="A338" s="4" t="s">
        <v>193</v>
      </c>
      <c r="B338" s="4" t="s">
        <v>1</v>
      </c>
      <c r="C338" t="str">
        <f>IF(A338=Blatt1!$B$1,B338,"")</f>
        <v/>
      </c>
    </row>
    <row r="339" spans="1:3" x14ac:dyDescent="0.35">
      <c r="A339" s="4" t="s">
        <v>193</v>
      </c>
      <c r="B339" s="4" t="s">
        <v>22</v>
      </c>
      <c r="C339" t="str">
        <f>IF(A339=Blatt1!$B$1,B339,"")</f>
        <v/>
      </c>
    </row>
    <row r="340" spans="1:3" x14ac:dyDescent="0.35">
      <c r="A340" s="4" t="s">
        <v>193</v>
      </c>
      <c r="B340" s="4" t="s">
        <v>2</v>
      </c>
      <c r="C340" t="str">
        <f>IF(A340=Blatt1!$B$1,B340,"")</f>
        <v/>
      </c>
    </row>
    <row r="341" spans="1:3" x14ac:dyDescent="0.35">
      <c r="A341" s="4" t="s">
        <v>193</v>
      </c>
      <c r="B341" s="4" t="s">
        <v>276</v>
      </c>
      <c r="C341" t="str">
        <f>IF(A341=Blatt1!$B$1,B341,"")</f>
        <v/>
      </c>
    </row>
    <row r="342" spans="1:3" x14ac:dyDescent="0.35">
      <c r="A342" s="4" t="s">
        <v>193</v>
      </c>
      <c r="B342" s="4" t="s">
        <v>171</v>
      </c>
      <c r="C342" t="str">
        <f>IF(A342=Blatt1!$B$1,B342,"")</f>
        <v/>
      </c>
    </row>
    <row r="343" spans="1:3" x14ac:dyDescent="0.35">
      <c r="A343" s="4" t="s">
        <v>193</v>
      </c>
      <c r="B343" s="4" t="s">
        <v>172</v>
      </c>
      <c r="C343" t="str">
        <f>IF(A343=Blatt1!$B$1,B343,"")</f>
        <v/>
      </c>
    </row>
    <row r="344" spans="1:3" x14ac:dyDescent="0.35">
      <c r="A344" s="4" t="s">
        <v>193</v>
      </c>
      <c r="B344" s="4" t="s">
        <v>173</v>
      </c>
      <c r="C344" t="str">
        <f>IF(A344=Blatt1!$B$1,B344,"")</f>
        <v/>
      </c>
    </row>
    <row r="345" spans="1:3" x14ac:dyDescent="0.35">
      <c r="A345" s="4" t="s">
        <v>193</v>
      </c>
      <c r="B345" s="4" t="s">
        <v>250</v>
      </c>
      <c r="C345" t="str">
        <f>IF(A345=Blatt1!$B$1,B345,"")</f>
        <v/>
      </c>
    </row>
    <row r="346" spans="1:3" x14ac:dyDescent="0.35">
      <c r="A346" s="4" t="s">
        <v>193</v>
      </c>
      <c r="B346" s="4" t="s">
        <v>179</v>
      </c>
      <c r="C346" t="str">
        <f>IF(A346=Blatt1!$B$1,B346,"")</f>
        <v/>
      </c>
    </row>
    <row r="347" spans="1:3" x14ac:dyDescent="0.35">
      <c r="A347" s="4" t="s">
        <v>193</v>
      </c>
      <c r="B347" s="4" t="s">
        <v>181</v>
      </c>
      <c r="C347" t="str">
        <f>IF(A347=Blatt1!$B$1,B347,"")</f>
        <v/>
      </c>
    </row>
    <row r="348" spans="1:3" x14ac:dyDescent="0.35">
      <c r="A348" s="4" t="s">
        <v>193</v>
      </c>
      <c r="B348" s="4" t="s">
        <v>256</v>
      </c>
      <c r="C348" t="str">
        <f>IF(A348=Blatt1!$B$1,B348,"")</f>
        <v/>
      </c>
    </row>
    <row r="349" spans="1:3" x14ac:dyDescent="0.35">
      <c r="A349" s="4" t="s">
        <v>201</v>
      </c>
      <c r="B349" s="4" t="s">
        <v>168</v>
      </c>
      <c r="C349" t="str">
        <f>IF(A349=Blatt1!$B$1,B349,"")</f>
        <v/>
      </c>
    </row>
    <row r="350" spans="1:3" x14ac:dyDescent="0.35">
      <c r="A350" s="4" t="s">
        <v>201</v>
      </c>
      <c r="B350" s="4" t="s">
        <v>169</v>
      </c>
      <c r="C350" t="str">
        <f>IF(A350=Blatt1!$B$1,B350,"")</f>
        <v/>
      </c>
    </row>
    <row r="351" spans="1:3" x14ac:dyDescent="0.35">
      <c r="A351" s="4" t="s">
        <v>201</v>
      </c>
      <c r="B351" s="4" t="s">
        <v>165</v>
      </c>
      <c r="C351" t="str">
        <f>IF(A351=Blatt1!$B$1,B351,"")</f>
        <v/>
      </c>
    </row>
    <row r="352" spans="1:3" x14ac:dyDescent="0.35">
      <c r="A352" s="4" t="s">
        <v>201</v>
      </c>
      <c r="B352" s="4" t="s">
        <v>166</v>
      </c>
      <c r="C352" t="str">
        <f>IF(A352=Blatt1!$B$1,B352,"")</f>
        <v/>
      </c>
    </row>
    <row r="353" spans="1:3" x14ac:dyDescent="0.35">
      <c r="A353" s="4" t="s">
        <v>201</v>
      </c>
      <c r="B353" s="4" t="s">
        <v>167</v>
      </c>
      <c r="C353" t="str">
        <f>IF(A353=Blatt1!$B$1,B353,"")</f>
        <v/>
      </c>
    </row>
    <row r="354" spans="1:3" x14ac:dyDescent="0.35">
      <c r="A354" s="4" t="s">
        <v>201</v>
      </c>
      <c r="B354" s="4" t="s">
        <v>1</v>
      </c>
      <c r="C354" t="str">
        <f>IF(A354=Blatt1!$B$1,B354,"")</f>
        <v/>
      </c>
    </row>
    <row r="355" spans="1:3" x14ac:dyDescent="0.35">
      <c r="A355" s="4" t="s">
        <v>201</v>
      </c>
      <c r="B355" s="4" t="s">
        <v>173</v>
      </c>
      <c r="C355" t="str">
        <f>IF(A355=Blatt1!$B$1,B355,"")</f>
        <v/>
      </c>
    </row>
    <row r="356" spans="1:3" x14ac:dyDescent="0.35">
      <c r="A356" s="4" t="s">
        <v>201</v>
      </c>
      <c r="B356" s="9" t="s">
        <v>278</v>
      </c>
      <c r="C356" t="str">
        <f>IF(A356=Blatt1!$B$1,B356,"")</f>
        <v/>
      </c>
    </row>
    <row r="357" spans="1:3" x14ac:dyDescent="0.35">
      <c r="A357" s="4" t="s">
        <v>201</v>
      </c>
      <c r="B357" s="4" t="s">
        <v>179</v>
      </c>
      <c r="C357" t="str">
        <f>IF(A357=Blatt1!$B$1,B357,"")</f>
        <v/>
      </c>
    </row>
    <row r="358" spans="1:3" x14ac:dyDescent="0.35">
      <c r="A358" s="4" t="s">
        <v>201</v>
      </c>
      <c r="B358" s="4" t="s">
        <v>255</v>
      </c>
      <c r="C358" t="str">
        <f>IF(A358=Blatt1!$B$1,B358,"")</f>
        <v/>
      </c>
    </row>
    <row r="359" spans="1:3" x14ac:dyDescent="0.35">
      <c r="A359" s="4" t="s">
        <v>201</v>
      </c>
      <c r="B359" s="4" t="s">
        <v>256</v>
      </c>
      <c r="C359" t="str">
        <f>IF(A359=Blatt1!$B$1,B359,"")</f>
        <v/>
      </c>
    </row>
    <row r="360" spans="1:3" x14ac:dyDescent="0.35">
      <c r="A360" s="4" t="s">
        <v>201</v>
      </c>
      <c r="B360" s="4" t="s">
        <v>265</v>
      </c>
      <c r="C360" t="str">
        <f>IF(A360=Blatt1!$B$1,B360,"")</f>
        <v/>
      </c>
    </row>
    <row r="361" spans="1:3" x14ac:dyDescent="0.35">
      <c r="A361" s="4" t="s">
        <v>201</v>
      </c>
      <c r="B361" s="4" t="s">
        <v>266</v>
      </c>
      <c r="C361" t="str">
        <f>IF(A361=Blatt1!$B$1,B361,"")</f>
        <v/>
      </c>
    </row>
    <row r="362" spans="1:3" x14ac:dyDescent="0.35">
      <c r="A362" s="4" t="s">
        <v>201</v>
      </c>
      <c r="B362" s="4" t="s">
        <v>267</v>
      </c>
      <c r="C362" t="str">
        <f>IF(A362=Blatt1!$B$1,B362,"")</f>
        <v/>
      </c>
    </row>
    <row r="363" spans="1:3" x14ac:dyDescent="0.35">
      <c r="A363" s="4" t="s">
        <v>201</v>
      </c>
      <c r="B363" s="4" t="s">
        <v>268</v>
      </c>
      <c r="C363" t="str">
        <f>IF(A363=Blatt1!$B$1,B363,"")</f>
        <v/>
      </c>
    </row>
    <row r="364" spans="1:3" x14ac:dyDescent="0.35">
      <c r="A364" s="4" t="s">
        <v>201</v>
      </c>
      <c r="B364" s="4" t="s">
        <v>269</v>
      </c>
      <c r="C364" t="str">
        <f>IF(A364=Blatt1!$B$1,B364,"")</f>
        <v/>
      </c>
    </row>
    <row r="365" spans="1:3" x14ac:dyDescent="0.35">
      <c r="A365" s="4" t="s">
        <v>201</v>
      </c>
      <c r="B365" s="4" t="s">
        <v>270</v>
      </c>
      <c r="C365" t="str">
        <f>IF(A365=Blatt1!$B$1,B365,"")</f>
        <v/>
      </c>
    </row>
    <row r="366" spans="1:3" x14ac:dyDescent="0.35">
      <c r="A366" s="4" t="s">
        <v>201</v>
      </c>
      <c r="B366" s="4" t="s">
        <v>271</v>
      </c>
      <c r="C366" t="str">
        <f>IF(A366=Blatt1!$B$1,B366,"")</f>
        <v/>
      </c>
    </row>
    <row r="367" spans="1:3" x14ac:dyDescent="0.35">
      <c r="A367" s="4" t="s">
        <v>201</v>
      </c>
      <c r="B367" s="4" t="s">
        <v>272</v>
      </c>
      <c r="C367" t="str">
        <f>IF(A367=Blatt1!$B$1,B367,"")</f>
        <v/>
      </c>
    </row>
    <row r="368" spans="1:3" x14ac:dyDescent="0.35">
      <c r="A368" s="4" t="s">
        <v>201</v>
      </c>
      <c r="B368" s="4" t="s">
        <v>277</v>
      </c>
      <c r="C368" t="str">
        <f>IF(A368=Blatt1!$B$1,B368,"")</f>
        <v/>
      </c>
    </row>
    <row r="369" spans="1:3" x14ac:dyDescent="0.35">
      <c r="A369" s="4" t="s">
        <v>201</v>
      </c>
      <c r="B369" s="4" t="s">
        <v>273</v>
      </c>
      <c r="C369" t="str">
        <f>IF(A369=Blatt1!$B$1,B369,"")</f>
        <v/>
      </c>
    </row>
    <row r="370" spans="1:3" x14ac:dyDescent="0.35">
      <c r="A370" s="4" t="s">
        <v>201</v>
      </c>
      <c r="B370" s="4" t="s">
        <v>274</v>
      </c>
      <c r="C370" t="str">
        <f>IF(A370=Blatt1!$B$1,B370,"")</f>
        <v/>
      </c>
    </row>
    <row r="371" spans="1:3" x14ac:dyDescent="0.35">
      <c r="A371" s="4" t="s">
        <v>201</v>
      </c>
      <c r="B371" s="4" t="s">
        <v>275</v>
      </c>
      <c r="C371" t="str">
        <f>IF(A371=Blatt1!$B$1,B371,"")</f>
        <v/>
      </c>
    </row>
    <row r="372" spans="1:3" x14ac:dyDescent="0.35">
      <c r="A372" s="4" t="s">
        <v>202</v>
      </c>
      <c r="B372" s="4" t="s">
        <v>24</v>
      </c>
      <c r="C372" t="str">
        <f>IF(A372=Blatt1!$B$1,B372,"")</f>
        <v/>
      </c>
    </row>
    <row r="373" spans="1:3" x14ac:dyDescent="0.35">
      <c r="A373" s="4" t="s">
        <v>202</v>
      </c>
      <c r="B373" s="4" t="s">
        <v>21</v>
      </c>
      <c r="C373" t="str">
        <f>IF(A373=Blatt1!$B$1,B373,"")</f>
        <v/>
      </c>
    </row>
    <row r="374" spans="1:3" x14ac:dyDescent="0.35">
      <c r="A374" s="4" t="s">
        <v>202</v>
      </c>
      <c r="B374" s="4" t="s">
        <v>17</v>
      </c>
      <c r="C374" t="str">
        <f>IF(A374=Blatt1!$B$1,B374,"")</f>
        <v/>
      </c>
    </row>
    <row r="375" spans="1:3" x14ac:dyDescent="0.35">
      <c r="A375" s="4" t="s">
        <v>202</v>
      </c>
      <c r="B375" s="4" t="s">
        <v>16</v>
      </c>
      <c r="C375" t="str">
        <f>IF(A375=Blatt1!$B$1,B375,"")</f>
        <v/>
      </c>
    </row>
    <row r="376" spans="1:3" x14ac:dyDescent="0.35">
      <c r="A376" s="4" t="s">
        <v>202</v>
      </c>
      <c r="B376" s="4" t="s">
        <v>279</v>
      </c>
      <c r="C376" t="str">
        <f>IF(A376=Blatt1!$B$1,B376,"")</f>
        <v/>
      </c>
    </row>
    <row r="377" spans="1:3" x14ac:dyDescent="0.35">
      <c r="A377" s="4" t="s">
        <v>202</v>
      </c>
      <c r="B377" s="4" t="s">
        <v>280</v>
      </c>
      <c r="C377" t="str">
        <f>IF(A377=Blatt1!$B$1,B377,"")</f>
        <v/>
      </c>
    </row>
    <row r="378" spans="1:3" x14ac:dyDescent="0.35">
      <c r="A378" s="4" t="s">
        <v>202</v>
      </c>
      <c r="B378" s="4" t="s">
        <v>168</v>
      </c>
      <c r="C378" t="str">
        <f>IF(A378=Blatt1!$B$1,B378,"")</f>
        <v/>
      </c>
    </row>
    <row r="379" spans="1:3" x14ac:dyDescent="0.35">
      <c r="A379" s="4" t="s">
        <v>202</v>
      </c>
      <c r="B379" s="4" t="s">
        <v>169</v>
      </c>
      <c r="C379" t="str">
        <f>IF(A379=Blatt1!$B$1,B379,"")</f>
        <v/>
      </c>
    </row>
    <row r="380" spans="1:3" x14ac:dyDescent="0.35">
      <c r="A380" s="4" t="s">
        <v>202</v>
      </c>
      <c r="B380" s="4" t="s">
        <v>165</v>
      </c>
      <c r="C380" t="str">
        <f>IF(A380=Blatt1!$B$1,B380,"")</f>
        <v/>
      </c>
    </row>
    <row r="381" spans="1:3" x14ac:dyDescent="0.35">
      <c r="A381" s="4" t="s">
        <v>202</v>
      </c>
      <c r="B381" s="4" t="s">
        <v>166</v>
      </c>
      <c r="C381" t="str">
        <f>IF(A381=Blatt1!$B$1,B381,"")</f>
        <v/>
      </c>
    </row>
    <row r="382" spans="1:3" x14ac:dyDescent="0.35">
      <c r="A382" s="4" t="s">
        <v>202</v>
      </c>
      <c r="B382" s="4" t="s">
        <v>167</v>
      </c>
      <c r="C382" t="str">
        <f>IF(A382=Blatt1!$B$1,B382,"")</f>
        <v/>
      </c>
    </row>
    <row r="383" spans="1:3" x14ac:dyDescent="0.35">
      <c r="A383" s="4" t="s">
        <v>202</v>
      </c>
      <c r="B383" s="4" t="s">
        <v>1</v>
      </c>
      <c r="C383" t="str">
        <f>IF(A383=Blatt1!$B$1,B383,"")</f>
        <v/>
      </c>
    </row>
    <row r="384" spans="1:3" x14ac:dyDescent="0.35">
      <c r="A384" s="4" t="s">
        <v>202</v>
      </c>
      <c r="B384" s="4" t="s">
        <v>22</v>
      </c>
      <c r="C384" t="str">
        <f>IF(A384=Blatt1!$B$1,B384,"")</f>
        <v/>
      </c>
    </row>
    <row r="385" spans="1:3" x14ac:dyDescent="0.35">
      <c r="A385" s="4" t="s">
        <v>202</v>
      </c>
      <c r="B385" s="4" t="s">
        <v>2</v>
      </c>
      <c r="C385" t="str">
        <f>IF(A385=Blatt1!$B$1,B385,"")</f>
        <v/>
      </c>
    </row>
    <row r="386" spans="1:3" x14ac:dyDescent="0.35">
      <c r="A386" s="4" t="s">
        <v>202</v>
      </c>
      <c r="B386" s="4" t="s">
        <v>276</v>
      </c>
      <c r="C386" t="str">
        <f>IF(A386=Blatt1!$B$1,B386,"")</f>
        <v/>
      </c>
    </row>
    <row r="387" spans="1:3" x14ac:dyDescent="0.35">
      <c r="A387" s="4" t="s">
        <v>202</v>
      </c>
      <c r="B387" s="4" t="s">
        <v>171</v>
      </c>
      <c r="C387" t="str">
        <f>IF(A387=Blatt1!$B$1,B387,"")</f>
        <v/>
      </c>
    </row>
    <row r="388" spans="1:3" x14ac:dyDescent="0.35">
      <c r="A388" s="4" t="s">
        <v>202</v>
      </c>
      <c r="B388" s="4" t="s">
        <v>172</v>
      </c>
      <c r="C388" t="str">
        <f>IF(A388=Blatt1!$B$1,B388,"")</f>
        <v/>
      </c>
    </row>
    <row r="389" spans="1:3" x14ac:dyDescent="0.35">
      <c r="A389" s="4" t="s">
        <v>202</v>
      </c>
      <c r="B389" s="4" t="s">
        <v>173</v>
      </c>
      <c r="C389" t="str">
        <f>IF(A389=Blatt1!$B$1,B389,"")</f>
        <v/>
      </c>
    </row>
    <row r="390" spans="1:3" x14ac:dyDescent="0.35">
      <c r="A390" s="4" t="s">
        <v>202</v>
      </c>
      <c r="B390" s="4" t="s">
        <v>250</v>
      </c>
      <c r="C390" t="str">
        <f>IF(A390=Blatt1!$B$1,B390,"")</f>
        <v/>
      </c>
    </row>
    <row r="391" spans="1:3" x14ac:dyDescent="0.35">
      <c r="A391" s="4" t="s">
        <v>202</v>
      </c>
      <c r="B391" s="4" t="s">
        <v>179</v>
      </c>
      <c r="C391" t="str">
        <f>IF(A391=Blatt1!$B$1,B391,"")</f>
        <v/>
      </c>
    </row>
    <row r="392" spans="1:3" x14ac:dyDescent="0.35">
      <c r="A392" s="4" t="s">
        <v>202</v>
      </c>
      <c r="B392" s="4" t="s">
        <v>181</v>
      </c>
      <c r="C392" t="str">
        <f>IF(A392=Blatt1!$B$1,B392,"")</f>
        <v/>
      </c>
    </row>
    <row r="393" spans="1:3" x14ac:dyDescent="0.35">
      <c r="A393" s="4" t="s">
        <v>202</v>
      </c>
      <c r="B393" s="4" t="s">
        <v>255</v>
      </c>
      <c r="C393" t="str">
        <f>IF(A393=Blatt1!$B$1,B393,"")</f>
        <v/>
      </c>
    </row>
    <row r="394" spans="1:3" x14ac:dyDescent="0.35">
      <c r="A394" s="4" t="s">
        <v>202</v>
      </c>
      <c r="B394" s="4" t="s">
        <v>256</v>
      </c>
      <c r="C394" t="str">
        <f>IF(A394=Blatt1!$B$1,B394,"")</f>
        <v/>
      </c>
    </row>
    <row r="395" spans="1:3" x14ac:dyDescent="0.35">
      <c r="A395" s="4" t="s">
        <v>203</v>
      </c>
      <c r="B395" s="4" t="s">
        <v>24</v>
      </c>
      <c r="C395" t="str">
        <f>IF(A395=Blatt1!$B$1,B395,"")</f>
        <v/>
      </c>
    </row>
    <row r="396" spans="1:3" x14ac:dyDescent="0.35">
      <c r="A396" s="4" t="s">
        <v>203</v>
      </c>
      <c r="B396" s="4" t="s">
        <v>21</v>
      </c>
      <c r="C396" t="str">
        <f>IF(A396=Blatt1!$B$1,B396,"")</f>
        <v/>
      </c>
    </row>
    <row r="397" spans="1:3" x14ac:dyDescent="0.35">
      <c r="A397" s="4" t="s">
        <v>203</v>
      </c>
      <c r="B397" s="4" t="s">
        <v>17</v>
      </c>
      <c r="C397" t="str">
        <f>IF(A397=Blatt1!$B$1,B397,"")</f>
        <v/>
      </c>
    </row>
    <row r="398" spans="1:3" x14ac:dyDescent="0.35">
      <c r="A398" s="4" t="s">
        <v>203</v>
      </c>
      <c r="B398" s="4" t="s">
        <v>16</v>
      </c>
      <c r="C398" t="str">
        <f>IF(A398=Blatt1!$B$1,B398,"")</f>
        <v/>
      </c>
    </row>
    <row r="399" spans="1:3" x14ac:dyDescent="0.35">
      <c r="A399" s="4" t="s">
        <v>203</v>
      </c>
      <c r="B399" s="4" t="s">
        <v>279</v>
      </c>
      <c r="C399" t="str">
        <f>IF(A399=Blatt1!$B$1,B399,"")</f>
        <v/>
      </c>
    </row>
    <row r="400" spans="1:3" x14ac:dyDescent="0.35">
      <c r="A400" s="4" t="s">
        <v>203</v>
      </c>
      <c r="B400" s="4" t="s">
        <v>280</v>
      </c>
      <c r="C400" t="str">
        <f>IF(A400=Blatt1!$B$1,B400,"")</f>
        <v/>
      </c>
    </row>
    <row r="401" spans="1:3" x14ac:dyDescent="0.35">
      <c r="A401" s="4" t="s">
        <v>203</v>
      </c>
      <c r="B401" s="4" t="s">
        <v>168</v>
      </c>
      <c r="C401" t="str">
        <f>IF(A401=Blatt1!$B$1,B401,"")</f>
        <v/>
      </c>
    </row>
    <row r="402" spans="1:3" x14ac:dyDescent="0.35">
      <c r="A402" s="4" t="s">
        <v>203</v>
      </c>
      <c r="B402" s="4" t="s">
        <v>169</v>
      </c>
      <c r="C402" t="str">
        <f>IF(A402=Blatt1!$B$1,B402,"")</f>
        <v/>
      </c>
    </row>
    <row r="403" spans="1:3" x14ac:dyDescent="0.35">
      <c r="A403" s="4" t="s">
        <v>203</v>
      </c>
      <c r="B403" s="4" t="s">
        <v>165</v>
      </c>
      <c r="C403" t="str">
        <f>IF(A403=Blatt1!$B$1,B403,"")</f>
        <v/>
      </c>
    </row>
    <row r="404" spans="1:3" x14ac:dyDescent="0.35">
      <c r="A404" s="4" t="s">
        <v>203</v>
      </c>
      <c r="B404" s="4" t="s">
        <v>166</v>
      </c>
      <c r="C404" t="str">
        <f>IF(A404=Blatt1!$B$1,B404,"")</f>
        <v/>
      </c>
    </row>
    <row r="405" spans="1:3" x14ac:dyDescent="0.35">
      <c r="A405" s="4" t="s">
        <v>203</v>
      </c>
      <c r="B405" s="4" t="s">
        <v>167</v>
      </c>
      <c r="C405" t="str">
        <f>IF(A405=Blatt1!$B$1,B405,"")</f>
        <v/>
      </c>
    </row>
    <row r="406" spans="1:3" x14ac:dyDescent="0.35">
      <c r="A406" s="4" t="s">
        <v>203</v>
      </c>
      <c r="B406" s="4" t="s">
        <v>1</v>
      </c>
      <c r="C406" t="str">
        <f>IF(A406=Blatt1!$B$1,B406,"")</f>
        <v/>
      </c>
    </row>
    <row r="407" spans="1:3" x14ac:dyDescent="0.35">
      <c r="A407" s="4" t="s">
        <v>203</v>
      </c>
      <c r="B407" s="4" t="s">
        <v>22</v>
      </c>
      <c r="C407" t="str">
        <f>IF(A407=Blatt1!$B$1,B407,"")</f>
        <v/>
      </c>
    </row>
    <row r="408" spans="1:3" x14ac:dyDescent="0.35">
      <c r="A408" s="4" t="s">
        <v>203</v>
      </c>
      <c r="B408" s="4" t="s">
        <v>2</v>
      </c>
      <c r="C408" t="str">
        <f>IF(A408=Blatt1!$B$1,B408,"")</f>
        <v/>
      </c>
    </row>
    <row r="409" spans="1:3" x14ac:dyDescent="0.35">
      <c r="A409" s="4" t="s">
        <v>203</v>
      </c>
      <c r="B409" s="4" t="s">
        <v>276</v>
      </c>
      <c r="C409" t="str">
        <f>IF(A409=Blatt1!$B$1,B409,"")</f>
        <v/>
      </c>
    </row>
    <row r="410" spans="1:3" x14ac:dyDescent="0.35">
      <c r="A410" s="4" t="s">
        <v>203</v>
      </c>
      <c r="B410" s="4" t="s">
        <v>171</v>
      </c>
      <c r="C410" t="str">
        <f>IF(A410=Blatt1!$B$1,B410,"")</f>
        <v/>
      </c>
    </row>
    <row r="411" spans="1:3" x14ac:dyDescent="0.35">
      <c r="A411" s="4" t="s">
        <v>203</v>
      </c>
      <c r="B411" s="4" t="s">
        <v>172</v>
      </c>
      <c r="C411" t="str">
        <f>IF(A411=Blatt1!$B$1,B411,"")</f>
        <v/>
      </c>
    </row>
    <row r="412" spans="1:3" x14ac:dyDescent="0.35">
      <c r="A412" s="4" t="s">
        <v>203</v>
      </c>
      <c r="B412" s="4" t="s">
        <v>173</v>
      </c>
      <c r="C412" t="str">
        <f>IF(A412=Blatt1!$B$1,B412,"")</f>
        <v/>
      </c>
    </row>
    <row r="413" spans="1:3" x14ac:dyDescent="0.35">
      <c r="A413" s="4" t="s">
        <v>203</v>
      </c>
      <c r="B413" s="4" t="s">
        <v>250</v>
      </c>
      <c r="C413" t="str">
        <f>IF(A413=Blatt1!$B$1,B413,"")</f>
        <v/>
      </c>
    </row>
    <row r="414" spans="1:3" x14ac:dyDescent="0.35">
      <c r="A414" s="4" t="s">
        <v>203</v>
      </c>
      <c r="B414" s="4" t="s">
        <v>179</v>
      </c>
      <c r="C414" t="str">
        <f>IF(A414=Blatt1!$B$1,B414,"")</f>
        <v/>
      </c>
    </row>
    <row r="415" spans="1:3" x14ac:dyDescent="0.35">
      <c r="A415" s="4" t="s">
        <v>203</v>
      </c>
      <c r="B415" s="4" t="s">
        <v>181</v>
      </c>
      <c r="C415" t="str">
        <f>IF(A415=Blatt1!$B$1,B415,"")</f>
        <v/>
      </c>
    </row>
    <row r="416" spans="1:3" x14ac:dyDescent="0.35">
      <c r="A416" s="4" t="s">
        <v>203</v>
      </c>
      <c r="B416" s="4" t="s">
        <v>255</v>
      </c>
      <c r="C416" t="str">
        <f>IF(A416=Blatt1!$B$1,B416,"")</f>
        <v/>
      </c>
    </row>
    <row r="417" spans="1:3" x14ac:dyDescent="0.35">
      <c r="A417" s="4" t="s">
        <v>203</v>
      </c>
      <c r="B417" s="4" t="s">
        <v>256</v>
      </c>
      <c r="C417" t="str">
        <f>IF(A417=Blatt1!$B$1,B417,"")</f>
        <v/>
      </c>
    </row>
    <row r="418" spans="1:3" x14ac:dyDescent="0.35">
      <c r="A418" s="4" t="s">
        <v>164</v>
      </c>
      <c r="B418" s="4" t="s">
        <v>24</v>
      </c>
      <c r="C418" t="str">
        <f>IF(A418=Blatt1!$B$1,B418,"")</f>
        <v/>
      </c>
    </row>
    <row r="419" spans="1:3" x14ac:dyDescent="0.35">
      <c r="A419" s="4" t="s">
        <v>164</v>
      </c>
      <c r="B419" s="4" t="s">
        <v>21</v>
      </c>
      <c r="C419" t="str">
        <f>IF(A419=Blatt1!$B$1,B419,"")</f>
        <v/>
      </c>
    </row>
    <row r="420" spans="1:3" x14ac:dyDescent="0.35">
      <c r="A420" s="4" t="s">
        <v>164</v>
      </c>
      <c r="B420" s="4" t="s">
        <v>17</v>
      </c>
      <c r="C420" t="str">
        <f>IF(A420=Blatt1!$B$1,B420,"")</f>
        <v/>
      </c>
    </row>
    <row r="421" spans="1:3" x14ac:dyDescent="0.35">
      <c r="A421" s="4" t="s">
        <v>164</v>
      </c>
      <c r="B421" s="4" t="s">
        <v>16</v>
      </c>
      <c r="C421" t="str">
        <f>IF(A421=Blatt1!$B$1,B421,"")</f>
        <v/>
      </c>
    </row>
    <row r="422" spans="1:3" x14ac:dyDescent="0.35">
      <c r="A422" s="4" t="s">
        <v>164</v>
      </c>
      <c r="B422" s="4" t="s">
        <v>279</v>
      </c>
      <c r="C422" t="str">
        <f>IF(A422=Blatt1!$B$1,B422,"")</f>
        <v/>
      </c>
    </row>
    <row r="423" spans="1:3" x14ac:dyDescent="0.35">
      <c r="A423" s="4" t="s">
        <v>164</v>
      </c>
      <c r="B423" s="4" t="s">
        <v>280</v>
      </c>
      <c r="C423" t="str">
        <f>IF(A423=Blatt1!$B$1,B423,"")</f>
        <v/>
      </c>
    </row>
    <row r="424" spans="1:3" x14ac:dyDescent="0.35">
      <c r="A424" s="4" t="s">
        <v>164</v>
      </c>
      <c r="B424" s="4" t="s">
        <v>168</v>
      </c>
      <c r="C424" t="str">
        <f>IF(A424=Blatt1!$B$1,B424,"")</f>
        <v/>
      </c>
    </row>
    <row r="425" spans="1:3" x14ac:dyDescent="0.35">
      <c r="A425" s="4" t="s">
        <v>164</v>
      </c>
      <c r="B425" s="4" t="s">
        <v>169</v>
      </c>
      <c r="C425" t="str">
        <f>IF(A425=Blatt1!$B$1,B425,"")</f>
        <v/>
      </c>
    </row>
    <row r="426" spans="1:3" x14ac:dyDescent="0.35">
      <c r="A426" s="4" t="s">
        <v>164</v>
      </c>
      <c r="B426" s="4" t="s">
        <v>165</v>
      </c>
      <c r="C426" t="str">
        <f>IF(A426=Blatt1!$B$1,B426,"")</f>
        <v/>
      </c>
    </row>
    <row r="427" spans="1:3" x14ac:dyDescent="0.35">
      <c r="A427" s="4" t="s">
        <v>164</v>
      </c>
      <c r="B427" s="4" t="s">
        <v>166</v>
      </c>
      <c r="C427" t="str">
        <f>IF(A427=Blatt1!$B$1,B427,"")</f>
        <v/>
      </c>
    </row>
    <row r="428" spans="1:3" x14ac:dyDescent="0.35">
      <c r="A428" s="4" t="s">
        <v>164</v>
      </c>
      <c r="B428" s="4" t="s">
        <v>167</v>
      </c>
      <c r="C428" t="str">
        <f>IF(A428=Blatt1!$B$1,B428,"")</f>
        <v/>
      </c>
    </row>
    <row r="429" spans="1:3" x14ac:dyDescent="0.35">
      <c r="A429" s="4" t="s">
        <v>164</v>
      </c>
      <c r="B429" s="4" t="s">
        <v>1</v>
      </c>
      <c r="C429" t="str">
        <f>IF(A429=Blatt1!$B$1,B429,"")</f>
        <v/>
      </c>
    </row>
    <row r="430" spans="1:3" x14ac:dyDescent="0.35">
      <c r="A430" s="4" t="s">
        <v>164</v>
      </c>
      <c r="B430" s="4" t="s">
        <v>22</v>
      </c>
      <c r="C430" t="str">
        <f>IF(A430=Blatt1!$B$1,B430,"")</f>
        <v/>
      </c>
    </row>
    <row r="431" spans="1:3" x14ac:dyDescent="0.35">
      <c r="A431" s="4" t="s">
        <v>164</v>
      </c>
      <c r="B431" s="4" t="s">
        <v>2</v>
      </c>
      <c r="C431" t="str">
        <f>IF(A431=Blatt1!$B$1,B431,"")</f>
        <v/>
      </c>
    </row>
    <row r="432" spans="1:3" x14ac:dyDescent="0.35">
      <c r="A432" s="4" t="s">
        <v>164</v>
      </c>
      <c r="B432" s="4" t="s">
        <v>276</v>
      </c>
      <c r="C432" t="str">
        <f>IF(A432=Blatt1!$B$1,B432,"")</f>
        <v/>
      </c>
    </row>
    <row r="433" spans="1:3" x14ac:dyDescent="0.35">
      <c r="A433" s="4" t="s">
        <v>164</v>
      </c>
      <c r="B433" s="4" t="s">
        <v>171</v>
      </c>
      <c r="C433" t="str">
        <f>IF(A433=Blatt1!$B$1,B433,"")</f>
        <v/>
      </c>
    </row>
    <row r="434" spans="1:3" x14ac:dyDescent="0.35">
      <c r="A434" s="4" t="s">
        <v>164</v>
      </c>
      <c r="B434" s="4" t="s">
        <v>172</v>
      </c>
      <c r="C434" t="str">
        <f>IF(A434=Blatt1!$B$1,B434,"")</f>
        <v/>
      </c>
    </row>
    <row r="435" spans="1:3" x14ac:dyDescent="0.35">
      <c r="A435" s="4" t="s">
        <v>164</v>
      </c>
      <c r="B435" s="4" t="s">
        <v>173</v>
      </c>
      <c r="C435" t="str">
        <f>IF(A435=Blatt1!$B$1,B435,"")</f>
        <v/>
      </c>
    </row>
    <row r="436" spans="1:3" x14ac:dyDescent="0.35">
      <c r="A436" s="4" t="s">
        <v>164</v>
      </c>
      <c r="B436" s="4" t="s">
        <v>250</v>
      </c>
      <c r="C436" t="str">
        <f>IF(A436=Blatt1!$B$1,B436,"")</f>
        <v/>
      </c>
    </row>
    <row r="437" spans="1:3" x14ac:dyDescent="0.35">
      <c r="A437" s="4" t="s">
        <v>164</v>
      </c>
      <c r="B437" s="4" t="s">
        <v>179</v>
      </c>
      <c r="C437" t="str">
        <f>IF(A437=Blatt1!$B$1,B437,"")</f>
        <v/>
      </c>
    </row>
    <row r="438" spans="1:3" x14ac:dyDescent="0.35">
      <c r="A438" s="4" t="s">
        <v>164</v>
      </c>
      <c r="B438" s="4" t="s">
        <v>181</v>
      </c>
      <c r="C438" t="str">
        <f>IF(A438=Blatt1!$B$1,B438,"")</f>
        <v/>
      </c>
    </row>
    <row r="439" spans="1:3" x14ac:dyDescent="0.35">
      <c r="A439" s="4" t="s">
        <v>164</v>
      </c>
      <c r="B439" s="4" t="s">
        <v>256</v>
      </c>
      <c r="C439" t="str">
        <f>IF(A439=Blatt1!$B$1,B439,"")</f>
        <v/>
      </c>
    </row>
    <row r="440" spans="1:3" x14ac:dyDescent="0.35">
      <c r="A440" s="4" t="s">
        <v>200</v>
      </c>
      <c r="B440" s="4" t="s">
        <v>24</v>
      </c>
      <c r="C440" t="str">
        <f>IF(A440=Blatt1!$B$1,B440,"")</f>
        <v/>
      </c>
    </row>
    <row r="441" spans="1:3" x14ac:dyDescent="0.35">
      <c r="A441" s="4" t="s">
        <v>200</v>
      </c>
      <c r="B441" s="4" t="s">
        <v>21</v>
      </c>
      <c r="C441" t="str">
        <f>IF(A441=Blatt1!$B$1,B441,"")</f>
        <v/>
      </c>
    </row>
    <row r="442" spans="1:3" x14ac:dyDescent="0.35">
      <c r="A442" s="4" t="s">
        <v>200</v>
      </c>
      <c r="B442" s="4" t="s">
        <v>17</v>
      </c>
      <c r="C442" t="str">
        <f>IF(A442=Blatt1!$B$1,B442,"")</f>
        <v/>
      </c>
    </row>
    <row r="443" spans="1:3" x14ac:dyDescent="0.35">
      <c r="A443" s="4" t="s">
        <v>200</v>
      </c>
      <c r="B443" s="4" t="s">
        <v>16</v>
      </c>
      <c r="C443" t="str">
        <f>IF(A443=Blatt1!$B$1,B443,"")</f>
        <v/>
      </c>
    </row>
    <row r="444" spans="1:3" x14ac:dyDescent="0.35">
      <c r="A444" s="4" t="s">
        <v>200</v>
      </c>
      <c r="B444" s="4" t="s">
        <v>279</v>
      </c>
      <c r="C444" t="str">
        <f>IF(A444=Blatt1!$B$1,B444,"")</f>
        <v/>
      </c>
    </row>
    <row r="445" spans="1:3" x14ac:dyDescent="0.35">
      <c r="A445" s="4" t="s">
        <v>200</v>
      </c>
      <c r="B445" s="4" t="s">
        <v>280</v>
      </c>
      <c r="C445" t="str">
        <f>IF(A445=Blatt1!$B$1,B445,"")</f>
        <v/>
      </c>
    </row>
    <row r="446" spans="1:3" x14ac:dyDescent="0.35">
      <c r="A446" s="4" t="s">
        <v>200</v>
      </c>
      <c r="B446" s="4" t="s">
        <v>168</v>
      </c>
      <c r="C446" t="str">
        <f>IF(A446=Blatt1!$B$1,B446,"")</f>
        <v/>
      </c>
    </row>
    <row r="447" spans="1:3" x14ac:dyDescent="0.35">
      <c r="A447" s="4" t="s">
        <v>200</v>
      </c>
      <c r="B447" s="4" t="s">
        <v>169</v>
      </c>
      <c r="C447" t="str">
        <f>IF(A447=Blatt1!$B$1,B447,"")</f>
        <v/>
      </c>
    </row>
    <row r="448" spans="1:3" x14ac:dyDescent="0.35">
      <c r="A448" s="4" t="s">
        <v>200</v>
      </c>
      <c r="B448" s="4" t="s">
        <v>165</v>
      </c>
      <c r="C448" t="str">
        <f>IF(A448=Blatt1!$B$1,B448,"")</f>
        <v/>
      </c>
    </row>
    <row r="449" spans="1:3" x14ac:dyDescent="0.35">
      <c r="A449" s="4" t="s">
        <v>200</v>
      </c>
      <c r="B449" s="4" t="s">
        <v>166</v>
      </c>
      <c r="C449" t="str">
        <f>IF(A449=Blatt1!$B$1,B449,"")</f>
        <v/>
      </c>
    </row>
    <row r="450" spans="1:3" x14ac:dyDescent="0.35">
      <c r="A450" s="4" t="s">
        <v>200</v>
      </c>
      <c r="B450" s="4" t="s">
        <v>167</v>
      </c>
      <c r="C450" t="str">
        <f>IF(A450=Blatt1!$B$1,B450,"")</f>
        <v/>
      </c>
    </row>
    <row r="451" spans="1:3" x14ac:dyDescent="0.35">
      <c r="A451" s="4" t="s">
        <v>200</v>
      </c>
      <c r="B451" s="4" t="s">
        <v>1</v>
      </c>
      <c r="C451" t="str">
        <f>IF(A451=Blatt1!$B$1,B451,"")</f>
        <v/>
      </c>
    </row>
    <row r="452" spans="1:3" x14ac:dyDescent="0.35">
      <c r="A452" s="4" t="s">
        <v>200</v>
      </c>
      <c r="B452" s="4" t="s">
        <v>22</v>
      </c>
      <c r="C452" t="str">
        <f>IF(A452=Blatt1!$B$1,B452,"")</f>
        <v/>
      </c>
    </row>
    <row r="453" spans="1:3" x14ac:dyDescent="0.35">
      <c r="A453" s="4" t="s">
        <v>200</v>
      </c>
      <c r="B453" s="4" t="s">
        <v>2</v>
      </c>
      <c r="C453" t="str">
        <f>IF(A453=Blatt1!$B$1,B453,"")</f>
        <v/>
      </c>
    </row>
    <row r="454" spans="1:3" x14ac:dyDescent="0.35">
      <c r="A454" s="4" t="s">
        <v>200</v>
      </c>
      <c r="B454" s="4" t="s">
        <v>276</v>
      </c>
      <c r="C454" t="str">
        <f>IF(A454=Blatt1!$B$1,B454,"")</f>
        <v/>
      </c>
    </row>
    <row r="455" spans="1:3" x14ac:dyDescent="0.35">
      <c r="A455" s="4" t="s">
        <v>200</v>
      </c>
      <c r="B455" s="4" t="s">
        <v>171</v>
      </c>
      <c r="C455" t="str">
        <f>IF(A455=Blatt1!$B$1,B455,"")</f>
        <v/>
      </c>
    </row>
    <row r="456" spans="1:3" x14ac:dyDescent="0.35">
      <c r="A456" s="4" t="s">
        <v>200</v>
      </c>
      <c r="B456" s="4" t="s">
        <v>172</v>
      </c>
      <c r="C456" t="str">
        <f>IF(A456=Blatt1!$B$1,B456,"")</f>
        <v/>
      </c>
    </row>
    <row r="457" spans="1:3" x14ac:dyDescent="0.35">
      <c r="A457" s="4" t="s">
        <v>200</v>
      </c>
      <c r="B457" s="4" t="s">
        <v>173</v>
      </c>
      <c r="C457" t="str">
        <f>IF(A457=Blatt1!$B$1,B457,"")</f>
        <v/>
      </c>
    </row>
    <row r="458" spans="1:3" x14ac:dyDescent="0.35">
      <c r="A458" s="4" t="s">
        <v>200</v>
      </c>
      <c r="B458" s="4" t="s">
        <v>250</v>
      </c>
      <c r="C458" t="str">
        <f>IF(A458=Blatt1!$B$1,B458,"")</f>
        <v/>
      </c>
    </row>
    <row r="459" spans="1:3" x14ac:dyDescent="0.35">
      <c r="A459" s="4" t="s">
        <v>200</v>
      </c>
      <c r="B459" s="4" t="s">
        <v>179</v>
      </c>
      <c r="C459" t="str">
        <f>IF(A459=Blatt1!$B$1,B459,"")</f>
        <v/>
      </c>
    </row>
    <row r="460" spans="1:3" x14ac:dyDescent="0.35">
      <c r="A460" s="4" t="s">
        <v>200</v>
      </c>
      <c r="B460" s="4" t="s">
        <v>181</v>
      </c>
      <c r="C460" t="str">
        <f>IF(A460=Blatt1!$B$1,B460,"")</f>
        <v/>
      </c>
    </row>
    <row r="461" spans="1:3" x14ac:dyDescent="0.35">
      <c r="A461" s="4" t="s">
        <v>204</v>
      </c>
      <c r="B461" s="4" t="s">
        <v>251</v>
      </c>
      <c r="C461" t="str">
        <f>IF(A461=Blatt1!$B$1,B461,"")</f>
        <v/>
      </c>
    </row>
    <row r="462" spans="1:3" x14ac:dyDescent="0.35">
      <c r="A462" s="4" t="s">
        <v>204</v>
      </c>
      <c r="B462" s="4" t="s">
        <v>252</v>
      </c>
      <c r="C462" t="str">
        <f>IF(A462=Blatt1!$B$1,B462,"")</f>
        <v/>
      </c>
    </row>
    <row r="463" spans="1:3" x14ac:dyDescent="0.35">
      <c r="A463" s="4" t="s">
        <v>204</v>
      </c>
      <c r="B463" s="4" t="s">
        <v>264</v>
      </c>
      <c r="C463" t="str">
        <f>IF(A463=Blatt1!$B$1,B463,"")</f>
        <v/>
      </c>
    </row>
    <row r="464" spans="1:3" x14ac:dyDescent="0.35">
      <c r="A464" s="4" t="s">
        <v>205</v>
      </c>
      <c r="B464" s="4" t="s">
        <v>24</v>
      </c>
      <c r="C464" t="str">
        <f>IF(A464=Blatt1!$B$1,B464,"")</f>
        <v/>
      </c>
    </row>
    <row r="465" spans="1:3" x14ac:dyDescent="0.35">
      <c r="A465" s="4" t="s">
        <v>205</v>
      </c>
      <c r="B465" s="4" t="s">
        <v>21</v>
      </c>
      <c r="C465" t="str">
        <f>IF(A465=Blatt1!$B$1,B465,"")</f>
        <v/>
      </c>
    </row>
    <row r="466" spans="1:3" x14ac:dyDescent="0.35">
      <c r="A466" s="4" t="s">
        <v>205</v>
      </c>
      <c r="B466" s="4" t="s">
        <v>181</v>
      </c>
      <c r="C466" t="str">
        <f>IF(A466=Blatt1!$B$1,B466,"")</f>
        <v/>
      </c>
    </row>
    <row r="467" spans="1:3" x14ac:dyDescent="0.35">
      <c r="A467" s="4" t="s">
        <v>206</v>
      </c>
      <c r="B467" s="4" t="s">
        <v>24</v>
      </c>
      <c r="C467" t="str">
        <f>IF(A467=Blatt1!$B$1,B467,"")</f>
        <v/>
      </c>
    </row>
    <row r="468" spans="1:3" x14ac:dyDescent="0.35">
      <c r="A468" s="4" t="s">
        <v>206</v>
      </c>
      <c r="B468" s="4" t="s">
        <v>21</v>
      </c>
      <c r="C468" t="str">
        <f>IF(A468=Blatt1!$B$1,B468,"")</f>
        <v/>
      </c>
    </row>
    <row r="469" spans="1:3" x14ac:dyDescent="0.35">
      <c r="A469" s="4" t="s">
        <v>206</v>
      </c>
      <c r="B469" s="4" t="s">
        <v>181</v>
      </c>
      <c r="C469" t="str">
        <f>IF(A469=Blatt1!$B$1,B469,"")</f>
        <v/>
      </c>
    </row>
    <row r="470" spans="1:3" x14ac:dyDescent="0.35">
      <c r="A470" s="4" t="s">
        <v>207</v>
      </c>
      <c r="B470" s="4" t="s">
        <v>24</v>
      </c>
      <c r="C470" t="str">
        <f>IF(A470=Blatt1!$B$1,B470,"")</f>
        <v/>
      </c>
    </row>
    <row r="471" spans="1:3" x14ac:dyDescent="0.35">
      <c r="A471" s="4" t="s">
        <v>207</v>
      </c>
      <c r="B471" s="4" t="s">
        <v>21</v>
      </c>
      <c r="C471" t="str">
        <f>IF(A471=Blatt1!$B$1,B471,"")</f>
        <v/>
      </c>
    </row>
    <row r="472" spans="1:3" x14ac:dyDescent="0.35">
      <c r="A472" s="4" t="s">
        <v>207</v>
      </c>
      <c r="B472" s="4" t="s">
        <v>181</v>
      </c>
      <c r="C472" t="str">
        <f>IF(A472=Blatt1!$B$1,B472,"")</f>
        <v/>
      </c>
    </row>
    <row r="473" spans="1:3" x14ac:dyDescent="0.35">
      <c r="A473" s="4" t="s">
        <v>208</v>
      </c>
      <c r="B473" s="4" t="s">
        <v>24</v>
      </c>
      <c r="C473" t="str">
        <f>IF(A473=Blatt1!$B$1,B473,"")</f>
        <v/>
      </c>
    </row>
    <row r="474" spans="1:3" x14ac:dyDescent="0.35">
      <c r="A474" s="4" t="s">
        <v>208</v>
      </c>
      <c r="B474" s="4" t="s">
        <v>21</v>
      </c>
      <c r="C474" t="str">
        <f>IF(A474=Blatt1!$B$1,B474,"")</f>
        <v/>
      </c>
    </row>
    <row r="475" spans="1:3" x14ac:dyDescent="0.35">
      <c r="A475" s="4" t="s">
        <v>208</v>
      </c>
      <c r="B475" s="4" t="s">
        <v>181</v>
      </c>
      <c r="C475" t="str">
        <f>IF(A475=Blatt1!$B$1,B475,"")</f>
        <v/>
      </c>
    </row>
    <row r="476" spans="1:3" x14ac:dyDescent="0.35">
      <c r="A476" s="4" t="s">
        <v>209</v>
      </c>
      <c r="B476" s="4" t="s">
        <v>24</v>
      </c>
      <c r="C476" t="str">
        <f>IF(A476=Blatt1!$B$1,B476,"")</f>
        <v/>
      </c>
    </row>
    <row r="477" spans="1:3" x14ac:dyDescent="0.35">
      <c r="A477" s="4" t="s">
        <v>209</v>
      </c>
      <c r="B477" s="4" t="s">
        <v>21</v>
      </c>
      <c r="C477" t="str">
        <f>IF(A477=Blatt1!$B$1,B477,"")</f>
        <v/>
      </c>
    </row>
    <row r="478" spans="1:3" x14ac:dyDescent="0.35">
      <c r="A478" s="4" t="s">
        <v>209</v>
      </c>
      <c r="B478" s="4" t="s">
        <v>181</v>
      </c>
      <c r="C478" t="str">
        <f>IF(A478=Blatt1!$B$1,B478,"")</f>
        <v/>
      </c>
    </row>
    <row r="479" spans="1:3" x14ac:dyDescent="0.35">
      <c r="A479" s="4" t="s">
        <v>210</v>
      </c>
      <c r="B479" s="4" t="s">
        <v>24</v>
      </c>
      <c r="C479" t="str">
        <f>IF(A479=Blatt1!$B$1,B479,"")</f>
        <v/>
      </c>
    </row>
    <row r="480" spans="1:3" x14ac:dyDescent="0.35">
      <c r="A480" s="4" t="s">
        <v>210</v>
      </c>
      <c r="B480" s="4" t="s">
        <v>21</v>
      </c>
      <c r="C480" t="str">
        <f>IF(A480=Blatt1!$B$1,B480,"")</f>
        <v/>
      </c>
    </row>
    <row r="481" spans="1:3" x14ac:dyDescent="0.35">
      <c r="A481" s="4" t="s">
        <v>210</v>
      </c>
      <c r="B481" s="4" t="s">
        <v>181</v>
      </c>
      <c r="C481" t="str">
        <f>IF(A481=Blatt1!$B$1,B481,"")</f>
        <v/>
      </c>
    </row>
    <row r="482" spans="1:3" x14ac:dyDescent="0.35">
      <c r="A482" s="4" t="s">
        <v>211</v>
      </c>
      <c r="B482" s="4" t="s">
        <v>24</v>
      </c>
      <c r="C482" t="str">
        <f>IF(A482=Blatt1!$B$1,B482,"")</f>
        <v/>
      </c>
    </row>
    <row r="483" spans="1:3" x14ac:dyDescent="0.35">
      <c r="A483" s="4" t="s">
        <v>211</v>
      </c>
      <c r="B483" s="4" t="s">
        <v>21</v>
      </c>
      <c r="C483" t="str">
        <f>IF(A483=Blatt1!$B$1,B483,"")</f>
        <v/>
      </c>
    </row>
    <row r="484" spans="1:3" x14ac:dyDescent="0.35">
      <c r="A484" s="4" t="s">
        <v>211</v>
      </c>
      <c r="B484" s="4" t="s">
        <v>181</v>
      </c>
      <c r="C484" t="str">
        <f>IF(A484=Blatt1!$B$1,B484,"")</f>
        <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04FB-CCE1-42BC-804C-0F63075749F8}">
  <sheetPr codeName="Tabelle9"/>
  <dimension ref="A1:D361"/>
  <sheetViews>
    <sheetView workbookViewId="0">
      <selection activeCell="C2" sqref="C2"/>
    </sheetView>
  </sheetViews>
  <sheetFormatPr baseColWidth="10" defaultRowHeight="14.5" x14ac:dyDescent="0.35"/>
  <cols>
    <col min="1" max="1" width="88.90625" bestFit="1" customWidth="1"/>
    <col min="2" max="2" width="38" bestFit="1" customWidth="1"/>
    <col min="3" max="3" width="37.6328125" customWidth="1"/>
    <col min="4" max="4" width="17.7265625" customWidth="1"/>
    <col min="8" max="8" width="38" bestFit="1" customWidth="1"/>
  </cols>
  <sheetData>
    <row r="1" spans="1:4" ht="16" x14ac:dyDescent="0.4">
      <c r="A1" s="20" t="s">
        <v>287</v>
      </c>
      <c r="B1" s="20" t="s">
        <v>288</v>
      </c>
      <c r="C1" s="22" t="s">
        <v>348</v>
      </c>
    </row>
    <row r="2" spans="1:4" x14ac:dyDescent="0.35">
      <c r="A2" t="s">
        <v>24</v>
      </c>
      <c r="B2" t="s">
        <v>18</v>
      </c>
      <c r="C2" t="str">
        <f>IF(A2=Blatt1!$B$2,B2,"")</f>
        <v/>
      </c>
      <c r="D2" t="s">
        <v>283</v>
      </c>
    </row>
    <row r="3" spans="1:4" x14ac:dyDescent="0.35">
      <c r="A3" t="s">
        <v>24</v>
      </c>
      <c r="B3" t="s">
        <v>175</v>
      </c>
      <c r="C3" t="str">
        <f>IF(A3=Blatt1!$B$2,B3,"")</f>
        <v/>
      </c>
      <c r="D3" t="s">
        <v>282</v>
      </c>
    </row>
    <row r="4" spans="1:4" x14ac:dyDescent="0.35">
      <c r="A4" t="s">
        <v>24</v>
      </c>
      <c r="B4" t="s">
        <v>170</v>
      </c>
      <c r="C4" t="str">
        <f>IF(A4=Blatt1!$B$2,B4,"")</f>
        <v/>
      </c>
      <c r="D4" t="s">
        <v>282</v>
      </c>
    </row>
    <row r="5" spans="1:4" x14ac:dyDescent="0.35">
      <c r="A5" t="s">
        <v>24</v>
      </c>
      <c r="B5" t="s">
        <v>19</v>
      </c>
      <c r="C5" t="str">
        <f>IF(A5=Blatt1!$B$2,B5,"")</f>
        <v/>
      </c>
      <c r="D5" t="s">
        <v>283</v>
      </c>
    </row>
    <row r="6" spans="1:4" x14ac:dyDescent="0.35">
      <c r="A6" t="s">
        <v>24</v>
      </c>
      <c r="B6" t="s">
        <v>23</v>
      </c>
      <c r="C6" t="str">
        <f>IF(A6=Blatt1!$B$2,B6,"")</f>
        <v/>
      </c>
      <c r="D6" t="s">
        <v>283</v>
      </c>
    </row>
    <row r="7" spans="1:4" x14ac:dyDescent="0.35">
      <c r="A7" t="s">
        <v>24</v>
      </c>
      <c r="B7" t="s">
        <v>20</v>
      </c>
      <c r="C7" t="str">
        <f>IF(A7=Blatt1!$B$2,B7,"")</f>
        <v/>
      </c>
      <c r="D7" t="s">
        <v>282</v>
      </c>
    </row>
    <row r="8" spans="1:4" x14ac:dyDescent="0.35">
      <c r="A8" t="s">
        <v>24</v>
      </c>
      <c r="B8" t="s">
        <v>177</v>
      </c>
      <c r="C8" t="str">
        <f>IF(A8=Blatt1!$B$2,B8,"")</f>
        <v/>
      </c>
      <c r="D8" t="s">
        <v>283</v>
      </c>
    </row>
    <row r="9" spans="1:4" x14ac:dyDescent="0.35">
      <c r="A9" t="s">
        <v>24</v>
      </c>
      <c r="B9" t="s">
        <v>174</v>
      </c>
      <c r="C9" t="str">
        <f>IF(A9=Blatt1!$B$2,B9,"")</f>
        <v/>
      </c>
      <c r="D9" t="s">
        <v>282</v>
      </c>
    </row>
    <row r="10" spans="1:4" x14ac:dyDescent="0.35">
      <c r="A10" t="s">
        <v>21</v>
      </c>
      <c r="B10" t="s">
        <v>18</v>
      </c>
      <c r="C10" t="str">
        <f>IF(A10=Blatt1!$B$2,B10,"")</f>
        <v>Stärke</v>
      </c>
      <c r="D10" t="s">
        <v>283</v>
      </c>
    </row>
    <row r="11" spans="1:4" x14ac:dyDescent="0.35">
      <c r="A11" t="s">
        <v>21</v>
      </c>
      <c r="B11" t="s">
        <v>175</v>
      </c>
      <c r="C11" t="str">
        <f>IF(A11=Blatt1!$B$2,B11,"")</f>
        <v>Geschwindigkeit</v>
      </c>
      <c r="D11" t="s">
        <v>282</v>
      </c>
    </row>
    <row r="12" spans="1:4" x14ac:dyDescent="0.35">
      <c r="A12" t="s">
        <v>21</v>
      </c>
      <c r="B12" t="s">
        <v>170</v>
      </c>
      <c r="C12" t="str">
        <f>IF(A12=Blatt1!$B$2,B12,"")</f>
        <v>Beschleunigung</v>
      </c>
      <c r="D12" t="s">
        <v>282</v>
      </c>
    </row>
    <row r="13" spans="1:4" x14ac:dyDescent="0.35">
      <c r="A13" t="s">
        <v>21</v>
      </c>
      <c r="B13" t="s">
        <v>19</v>
      </c>
      <c r="C13" t="str">
        <f>IF(A13=Blatt1!$B$2,B13,"")</f>
        <v>Smoothness</v>
      </c>
      <c r="D13" t="s">
        <v>283</v>
      </c>
    </row>
    <row r="14" spans="1:4" x14ac:dyDescent="0.35">
      <c r="A14" t="s">
        <v>21</v>
      </c>
      <c r="B14" t="s">
        <v>23</v>
      </c>
      <c r="C14" t="str">
        <f>IF(A14=Blatt1!$B$2,B14,"")</f>
        <v>Verfahrweg</v>
      </c>
      <c r="D14" t="s">
        <v>283</v>
      </c>
    </row>
    <row r="15" spans="1:4" x14ac:dyDescent="0.35">
      <c r="A15" t="s">
        <v>21</v>
      </c>
      <c r="B15" t="s">
        <v>20</v>
      </c>
      <c r="C15" t="str">
        <f>IF(A15=Blatt1!$B$2,B15,"")</f>
        <v>Details</v>
      </c>
      <c r="D15" t="s">
        <v>282</v>
      </c>
    </row>
    <row r="16" spans="1:4" x14ac:dyDescent="0.35">
      <c r="A16" t="s">
        <v>21</v>
      </c>
      <c r="B16" t="s">
        <v>177</v>
      </c>
      <c r="C16" t="str">
        <f>IF(A16=Blatt1!$B$2,B16,"")</f>
        <v>Telemetrie - Input Limit</v>
      </c>
      <c r="D16" t="s">
        <v>283</v>
      </c>
    </row>
    <row r="17" spans="1:4" x14ac:dyDescent="0.35">
      <c r="A17" t="s">
        <v>21</v>
      </c>
      <c r="B17" t="s">
        <v>174</v>
      </c>
      <c r="C17" t="str">
        <f>IF(A17=Blatt1!$B$2,B17,"")</f>
        <v>Totzone</v>
      </c>
      <c r="D17" t="s">
        <v>282</v>
      </c>
    </row>
    <row r="18" spans="1:4" x14ac:dyDescent="0.35">
      <c r="A18" t="s">
        <v>21</v>
      </c>
      <c r="B18" t="s">
        <v>176</v>
      </c>
      <c r="C18" t="str">
        <f>IF(A18=Blatt1!$B$2,B18,"")</f>
        <v>Clipping - Overflow - Effekt Überlagerung</v>
      </c>
      <c r="D18" t="s">
        <v>282</v>
      </c>
    </row>
    <row r="19" spans="1:4" x14ac:dyDescent="0.35">
      <c r="A19" t="s">
        <v>17</v>
      </c>
      <c r="B19" t="s">
        <v>18</v>
      </c>
      <c r="C19" t="str">
        <f>IF(A19=Blatt1!$B$2,B19,"")</f>
        <v/>
      </c>
      <c r="D19" t="s">
        <v>282</v>
      </c>
    </row>
    <row r="20" spans="1:4" x14ac:dyDescent="0.35">
      <c r="A20" t="s">
        <v>17</v>
      </c>
      <c r="B20" t="s">
        <v>175</v>
      </c>
      <c r="C20" t="str">
        <f>IF(A20=Blatt1!$B$2,B20,"")</f>
        <v/>
      </c>
      <c r="D20" t="s">
        <v>283</v>
      </c>
    </row>
    <row r="21" spans="1:4" x14ac:dyDescent="0.35">
      <c r="A21" t="s">
        <v>17</v>
      </c>
      <c r="B21" t="s">
        <v>170</v>
      </c>
      <c r="C21" t="str">
        <f>IF(A21=Blatt1!$B$2,B21,"")</f>
        <v/>
      </c>
      <c r="D21" t="s">
        <v>283</v>
      </c>
    </row>
    <row r="22" spans="1:4" x14ac:dyDescent="0.35">
      <c r="A22" t="s">
        <v>17</v>
      </c>
      <c r="B22" t="s">
        <v>19</v>
      </c>
      <c r="C22" t="str">
        <f>IF(A22=Blatt1!$B$2,B22,"")</f>
        <v/>
      </c>
      <c r="D22" t="s">
        <v>283</v>
      </c>
    </row>
    <row r="23" spans="1:4" x14ac:dyDescent="0.35">
      <c r="A23" t="s">
        <v>17</v>
      </c>
      <c r="B23" t="s">
        <v>23</v>
      </c>
      <c r="C23" t="str">
        <f>IF(A23=Blatt1!$B$2,B23,"")</f>
        <v/>
      </c>
      <c r="D23" t="s">
        <v>282</v>
      </c>
    </row>
    <row r="24" spans="1:4" x14ac:dyDescent="0.35">
      <c r="A24" t="s">
        <v>17</v>
      </c>
      <c r="B24" t="s">
        <v>177</v>
      </c>
      <c r="C24" t="str">
        <f>IF(A24=Blatt1!$B$2,B24,"")</f>
        <v/>
      </c>
      <c r="D24" t="s">
        <v>282</v>
      </c>
    </row>
    <row r="25" spans="1:4" x14ac:dyDescent="0.35">
      <c r="A25" t="s">
        <v>16</v>
      </c>
      <c r="B25" t="s">
        <v>18</v>
      </c>
      <c r="C25" t="str">
        <f>IF(A25=Blatt1!$B$2,B25,"")</f>
        <v/>
      </c>
      <c r="D25" t="s">
        <v>282</v>
      </c>
    </row>
    <row r="26" spans="1:4" x14ac:dyDescent="0.35">
      <c r="A26" t="s">
        <v>16</v>
      </c>
      <c r="B26" t="s">
        <v>175</v>
      </c>
      <c r="C26" t="str">
        <f>IF(A26=Blatt1!$B$2,B26,"")</f>
        <v/>
      </c>
      <c r="D26" t="s">
        <v>283</v>
      </c>
    </row>
    <row r="27" spans="1:4" x14ac:dyDescent="0.35">
      <c r="A27" t="s">
        <v>16</v>
      </c>
      <c r="B27" t="s">
        <v>170</v>
      </c>
      <c r="C27" t="str">
        <f>IF(A27=Blatt1!$B$2,B27,"")</f>
        <v/>
      </c>
      <c r="D27" t="s">
        <v>283</v>
      </c>
    </row>
    <row r="28" spans="1:4" x14ac:dyDescent="0.35">
      <c r="A28" t="s">
        <v>16</v>
      </c>
      <c r="B28" t="s">
        <v>19</v>
      </c>
      <c r="C28" t="str">
        <f>IF(A28=Blatt1!$B$2,B28,"")</f>
        <v/>
      </c>
      <c r="D28" t="s">
        <v>283</v>
      </c>
    </row>
    <row r="29" spans="1:4" x14ac:dyDescent="0.35">
      <c r="A29" t="s">
        <v>16</v>
      </c>
      <c r="B29" t="s">
        <v>23</v>
      </c>
      <c r="C29" t="str">
        <f>IF(A29=Blatt1!$B$2,B29,"")</f>
        <v/>
      </c>
      <c r="D29" t="s">
        <v>282</v>
      </c>
    </row>
    <row r="30" spans="1:4" x14ac:dyDescent="0.35">
      <c r="A30" t="s">
        <v>16</v>
      </c>
      <c r="B30" t="s">
        <v>177</v>
      </c>
      <c r="C30" t="str">
        <f>IF(A30=Blatt1!$B$2,B30,"")</f>
        <v/>
      </c>
      <c r="D30" t="s">
        <v>282</v>
      </c>
    </row>
    <row r="31" spans="1:4" x14ac:dyDescent="0.35">
      <c r="A31" t="s">
        <v>16</v>
      </c>
      <c r="B31" t="s">
        <v>176</v>
      </c>
      <c r="C31" t="str">
        <f>IF(A31=Blatt1!$B$2,B31,"")</f>
        <v/>
      </c>
      <c r="D31" t="s">
        <v>282</v>
      </c>
    </row>
    <row r="32" spans="1:4" x14ac:dyDescent="0.35">
      <c r="A32" t="s">
        <v>279</v>
      </c>
      <c r="B32" t="s">
        <v>18</v>
      </c>
      <c r="C32" t="str">
        <f>IF(A32=Blatt1!$B$2,B32,"")</f>
        <v/>
      </c>
      <c r="D32" t="s">
        <v>283</v>
      </c>
    </row>
    <row r="33" spans="1:4" x14ac:dyDescent="0.35">
      <c r="A33" t="s">
        <v>279</v>
      </c>
      <c r="B33" t="s">
        <v>175</v>
      </c>
      <c r="C33" t="str">
        <f>IF(A33=Blatt1!$B$2,B33,"")</f>
        <v/>
      </c>
      <c r="D33" t="s">
        <v>283</v>
      </c>
    </row>
    <row r="34" spans="1:4" x14ac:dyDescent="0.35">
      <c r="A34" t="s">
        <v>279</v>
      </c>
      <c r="B34" t="s">
        <v>170</v>
      </c>
      <c r="C34" t="str">
        <f>IF(A34=Blatt1!$B$2,B34,"")</f>
        <v/>
      </c>
      <c r="D34" t="s">
        <v>283</v>
      </c>
    </row>
    <row r="35" spans="1:4" x14ac:dyDescent="0.35">
      <c r="A35" t="s">
        <v>279</v>
      </c>
      <c r="B35" t="s">
        <v>19</v>
      </c>
      <c r="C35" t="str">
        <f>IF(A35=Blatt1!$B$2,B35,"")</f>
        <v/>
      </c>
      <c r="D35" t="s">
        <v>283</v>
      </c>
    </row>
    <row r="36" spans="1:4" x14ac:dyDescent="0.35">
      <c r="A36" t="s">
        <v>279</v>
      </c>
      <c r="B36" t="s">
        <v>23</v>
      </c>
      <c r="C36" t="str">
        <f>IF(A36=Blatt1!$B$2,B36,"")</f>
        <v/>
      </c>
      <c r="D36" t="s">
        <v>284</v>
      </c>
    </row>
    <row r="37" spans="1:4" x14ac:dyDescent="0.35">
      <c r="A37" t="s">
        <v>279</v>
      </c>
      <c r="B37" t="s">
        <v>20</v>
      </c>
      <c r="C37" t="str">
        <f>IF(A37=Blatt1!$B$2,B37,"")</f>
        <v/>
      </c>
      <c r="D37" t="s">
        <v>282</v>
      </c>
    </row>
    <row r="38" spans="1:4" x14ac:dyDescent="0.35">
      <c r="A38" t="s">
        <v>279</v>
      </c>
      <c r="B38" t="s">
        <v>178</v>
      </c>
      <c r="C38" t="str">
        <f>IF(A38=Blatt1!$B$2,B38,"")</f>
        <v/>
      </c>
      <c r="D38" t="s">
        <v>283</v>
      </c>
    </row>
    <row r="39" spans="1:4" x14ac:dyDescent="0.35">
      <c r="A39" t="s">
        <v>279</v>
      </c>
      <c r="B39" t="s">
        <v>176</v>
      </c>
      <c r="C39" t="str">
        <f>IF(A39=Blatt1!$B$2,B39,"")</f>
        <v/>
      </c>
      <c r="D39" t="s">
        <v>283</v>
      </c>
    </row>
    <row r="40" spans="1:4" x14ac:dyDescent="0.35">
      <c r="A40" t="s">
        <v>279</v>
      </c>
      <c r="B40" t="s">
        <v>177</v>
      </c>
      <c r="C40" t="str">
        <f>IF(A40=Blatt1!$B$2,B40,"")</f>
        <v/>
      </c>
      <c r="D40" t="s">
        <v>282</v>
      </c>
    </row>
    <row r="41" spans="1:4" x14ac:dyDescent="0.35">
      <c r="A41" t="s">
        <v>279</v>
      </c>
      <c r="B41" t="s">
        <v>174</v>
      </c>
      <c r="C41" t="str">
        <f>IF(A41=Blatt1!$B$2,B41,"")</f>
        <v/>
      </c>
      <c r="D41" t="s">
        <v>284</v>
      </c>
    </row>
    <row r="42" spans="1:4" x14ac:dyDescent="0.35">
      <c r="A42" t="s">
        <v>280</v>
      </c>
      <c r="B42" t="s">
        <v>18</v>
      </c>
      <c r="C42" t="str">
        <f>IF(A42=Blatt1!$B$2,B42,"")</f>
        <v/>
      </c>
      <c r="D42" t="s">
        <v>283</v>
      </c>
    </row>
    <row r="43" spans="1:4" x14ac:dyDescent="0.35">
      <c r="A43" t="s">
        <v>280</v>
      </c>
      <c r="B43" t="s">
        <v>175</v>
      </c>
      <c r="C43" t="str">
        <f>IF(A43=Blatt1!$B$2,B43,"")</f>
        <v/>
      </c>
      <c r="D43" t="s">
        <v>283</v>
      </c>
    </row>
    <row r="44" spans="1:4" x14ac:dyDescent="0.35">
      <c r="A44" t="s">
        <v>280</v>
      </c>
      <c r="B44" t="s">
        <v>170</v>
      </c>
      <c r="C44" t="str">
        <f>IF(A44=Blatt1!$B$2,B44,"")</f>
        <v/>
      </c>
      <c r="D44" t="s">
        <v>283</v>
      </c>
    </row>
    <row r="45" spans="1:4" x14ac:dyDescent="0.35">
      <c r="A45" t="s">
        <v>280</v>
      </c>
      <c r="B45" t="s">
        <v>19</v>
      </c>
      <c r="C45" t="str">
        <f>IF(A45=Blatt1!$B$2,B45,"")</f>
        <v/>
      </c>
      <c r="D45" t="s">
        <v>283</v>
      </c>
    </row>
    <row r="46" spans="1:4" x14ac:dyDescent="0.35">
      <c r="A46" t="s">
        <v>280</v>
      </c>
      <c r="B46" t="s">
        <v>23</v>
      </c>
      <c r="C46" t="str">
        <f>IF(A46=Blatt1!$B$2,B46,"")</f>
        <v/>
      </c>
      <c r="D46" t="s">
        <v>284</v>
      </c>
    </row>
    <row r="47" spans="1:4" x14ac:dyDescent="0.35">
      <c r="A47" t="s">
        <v>280</v>
      </c>
      <c r="B47" t="s">
        <v>20</v>
      </c>
      <c r="C47" t="str">
        <f>IF(A47=Blatt1!$B$2,B47,"")</f>
        <v/>
      </c>
      <c r="D47" t="s">
        <v>282</v>
      </c>
    </row>
    <row r="48" spans="1:4" x14ac:dyDescent="0.35">
      <c r="A48" t="s">
        <v>280</v>
      </c>
      <c r="B48" t="s">
        <v>178</v>
      </c>
      <c r="C48" t="str">
        <f>IF(A48=Blatt1!$B$2,B48,"")</f>
        <v/>
      </c>
      <c r="D48" t="s">
        <v>284</v>
      </c>
    </row>
    <row r="49" spans="1:4" x14ac:dyDescent="0.35">
      <c r="A49" t="s">
        <v>280</v>
      </c>
      <c r="B49" t="s">
        <v>177</v>
      </c>
      <c r="C49" t="str">
        <f>IF(A49=Blatt1!$B$2,B49,"")</f>
        <v/>
      </c>
      <c r="D49" t="s">
        <v>282</v>
      </c>
    </row>
    <row r="50" spans="1:4" x14ac:dyDescent="0.35">
      <c r="A50" t="s">
        <v>168</v>
      </c>
      <c r="B50" t="s">
        <v>18</v>
      </c>
      <c r="C50" t="str">
        <f>IF(A50=Blatt1!$B$2,B50,"")</f>
        <v/>
      </c>
      <c r="D50" t="s">
        <v>282</v>
      </c>
    </row>
    <row r="51" spans="1:4" x14ac:dyDescent="0.35">
      <c r="A51" t="s">
        <v>168</v>
      </c>
      <c r="B51" t="s">
        <v>175</v>
      </c>
      <c r="C51" t="str">
        <f>IF(A51=Blatt1!$B$2,B51,"")</f>
        <v/>
      </c>
      <c r="D51" t="s">
        <v>284</v>
      </c>
    </row>
    <row r="52" spans="1:4" x14ac:dyDescent="0.35">
      <c r="A52" t="s">
        <v>168</v>
      </c>
      <c r="B52" t="s">
        <v>170</v>
      </c>
      <c r="C52" t="str">
        <f>IF(A52=Blatt1!$B$2,B52,"")</f>
        <v/>
      </c>
      <c r="D52" t="s">
        <v>282</v>
      </c>
    </row>
    <row r="53" spans="1:4" x14ac:dyDescent="0.35">
      <c r="A53" t="s">
        <v>168</v>
      </c>
      <c r="B53" t="s">
        <v>19</v>
      </c>
      <c r="C53" t="str">
        <f>IF(A53=Blatt1!$B$2,B53,"")</f>
        <v/>
      </c>
      <c r="D53" t="s">
        <v>283</v>
      </c>
    </row>
    <row r="54" spans="1:4" x14ac:dyDescent="0.35">
      <c r="A54" t="s">
        <v>168</v>
      </c>
      <c r="B54" t="s">
        <v>23</v>
      </c>
      <c r="C54" t="str">
        <f>IF(A54=Blatt1!$B$2,B54,"")</f>
        <v/>
      </c>
      <c r="D54" t="s">
        <v>284</v>
      </c>
    </row>
    <row r="55" spans="1:4" x14ac:dyDescent="0.35">
      <c r="A55" t="s">
        <v>168</v>
      </c>
      <c r="B55" t="s">
        <v>20</v>
      </c>
      <c r="C55" t="str">
        <f>IF(A55=Blatt1!$B$2,B55,"")</f>
        <v/>
      </c>
      <c r="D55" t="s">
        <v>283</v>
      </c>
    </row>
    <row r="56" spans="1:4" x14ac:dyDescent="0.35">
      <c r="A56" t="s">
        <v>168</v>
      </c>
      <c r="B56" t="s">
        <v>178</v>
      </c>
      <c r="C56" t="str">
        <f>IF(A56=Blatt1!$B$2,B56,"")</f>
        <v/>
      </c>
      <c r="D56" t="s">
        <v>282</v>
      </c>
    </row>
    <row r="57" spans="1:4" x14ac:dyDescent="0.35">
      <c r="A57" t="s">
        <v>168</v>
      </c>
      <c r="B57" t="s">
        <v>176</v>
      </c>
      <c r="C57" t="str">
        <f>IF(A57=Blatt1!$B$2,B57,"")</f>
        <v/>
      </c>
      <c r="D57" t="s">
        <v>282</v>
      </c>
    </row>
    <row r="58" spans="1:4" x14ac:dyDescent="0.35">
      <c r="A58" t="s">
        <v>168</v>
      </c>
      <c r="B58" t="s">
        <v>177</v>
      </c>
      <c r="C58" t="str">
        <f>IF(A58=Blatt1!$B$2,B58,"")</f>
        <v/>
      </c>
      <c r="D58" t="s">
        <v>283</v>
      </c>
    </row>
    <row r="59" spans="1:4" x14ac:dyDescent="0.35">
      <c r="A59" t="s">
        <v>168</v>
      </c>
      <c r="B59" t="s">
        <v>174</v>
      </c>
      <c r="C59" t="str">
        <f>IF(A59=Blatt1!$B$2,B59,"")</f>
        <v/>
      </c>
      <c r="D59" t="s">
        <v>283</v>
      </c>
    </row>
    <row r="60" spans="1:4" x14ac:dyDescent="0.35">
      <c r="A60" t="s">
        <v>169</v>
      </c>
      <c r="B60" t="s">
        <v>18</v>
      </c>
      <c r="C60" t="str">
        <f>IF(A60=Blatt1!$B$2,B60,"")</f>
        <v/>
      </c>
      <c r="D60" t="s">
        <v>282</v>
      </c>
    </row>
    <row r="61" spans="1:4" x14ac:dyDescent="0.35">
      <c r="A61" t="s">
        <v>169</v>
      </c>
      <c r="B61" t="s">
        <v>175</v>
      </c>
      <c r="C61" t="str">
        <f>IF(A61=Blatt1!$B$2,B61,"")</f>
        <v/>
      </c>
      <c r="D61" t="s">
        <v>284</v>
      </c>
    </row>
    <row r="62" spans="1:4" x14ac:dyDescent="0.35">
      <c r="A62" t="s">
        <v>169</v>
      </c>
      <c r="B62" t="s">
        <v>170</v>
      </c>
      <c r="C62" t="str">
        <f>IF(A62=Blatt1!$B$2,B62,"")</f>
        <v/>
      </c>
      <c r="D62" t="s">
        <v>282</v>
      </c>
    </row>
    <row r="63" spans="1:4" x14ac:dyDescent="0.35">
      <c r="A63" t="s">
        <v>169</v>
      </c>
      <c r="B63" t="s">
        <v>19</v>
      </c>
      <c r="C63" t="str">
        <f>IF(A63=Blatt1!$B$2,B63,"")</f>
        <v/>
      </c>
      <c r="D63" t="s">
        <v>283</v>
      </c>
    </row>
    <row r="64" spans="1:4" x14ac:dyDescent="0.35">
      <c r="A64" t="s">
        <v>169</v>
      </c>
      <c r="B64" t="s">
        <v>23</v>
      </c>
      <c r="C64" t="str">
        <f>IF(A64=Blatt1!$B$2,B64,"")</f>
        <v/>
      </c>
      <c r="D64" t="s">
        <v>284</v>
      </c>
    </row>
    <row r="65" spans="1:4" x14ac:dyDescent="0.35">
      <c r="A65" t="s">
        <v>169</v>
      </c>
      <c r="B65" t="s">
        <v>20</v>
      </c>
      <c r="C65" t="str">
        <f>IF(A65=Blatt1!$B$2,B65,"")</f>
        <v/>
      </c>
      <c r="D65" t="s">
        <v>283</v>
      </c>
    </row>
    <row r="66" spans="1:4" x14ac:dyDescent="0.35">
      <c r="A66" t="s">
        <v>169</v>
      </c>
      <c r="B66" t="s">
        <v>178</v>
      </c>
      <c r="C66" t="str">
        <f>IF(A66=Blatt1!$B$2,B66,"")</f>
        <v/>
      </c>
      <c r="D66" t="s">
        <v>282</v>
      </c>
    </row>
    <row r="67" spans="1:4" x14ac:dyDescent="0.35">
      <c r="A67" t="s">
        <v>169</v>
      </c>
      <c r="B67" t="s">
        <v>176</v>
      </c>
      <c r="C67" t="str">
        <f>IF(A67=Blatt1!$B$2,B67,"")</f>
        <v/>
      </c>
      <c r="D67" t="s">
        <v>282</v>
      </c>
    </row>
    <row r="68" spans="1:4" x14ac:dyDescent="0.35">
      <c r="A68" t="s">
        <v>169</v>
      </c>
      <c r="B68" t="s">
        <v>177</v>
      </c>
      <c r="C68" t="str">
        <f>IF(A68=Blatt1!$B$2,B68,"")</f>
        <v/>
      </c>
      <c r="D68" t="s">
        <v>283</v>
      </c>
    </row>
    <row r="69" spans="1:4" x14ac:dyDescent="0.35">
      <c r="A69" t="s">
        <v>169</v>
      </c>
      <c r="B69" t="s">
        <v>174</v>
      </c>
      <c r="C69" t="str">
        <f>IF(A69=Blatt1!$B$2,B69,"")</f>
        <v/>
      </c>
      <c r="D69" t="s">
        <v>283</v>
      </c>
    </row>
    <row r="70" spans="1:4" x14ac:dyDescent="0.35">
      <c r="A70" t="s">
        <v>165</v>
      </c>
      <c r="B70" t="s">
        <v>18</v>
      </c>
      <c r="C70" t="str">
        <f>IF(A70=Blatt1!$B$2,B70,"")</f>
        <v/>
      </c>
      <c r="D70" t="s">
        <v>282</v>
      </c>
    </row>
    <row r="71" spans="1:4" x14ac:dyDescent="0.35">
      <c r="A71" t="s">
        <v>165</v>
      </c>
      <c r="B71" t="s">
        <v>175</v>
      </c>
      <c r="C71" t="str">
        <f>IF(A71=Blatt1!$B$2,B71,"")</f>
        <v/>
      </c>
      <c r="D71" t="s">
        <v>284</v>
      </c>
    </row>
    <row r="72" spans="1:4" x14ac:dyDescent="0.35">
      <c r="A72" t="s">
        <v>165</v>
      </c>
      <c r="B72" t="s">
        <v>170</v>
      </c>
      <c r="C72" t="str">
        <f>IF(A72=Blatt1!$B$2,B72,"")</f>
        <v/>
      </c>
      <c r="D72" t="s">
        <v>282</v>
      </c>
    </row>
    <row r="73" spans="1:4" x14ac:dyDescent="0.35">
      <c r="A73" t="s">
        <v>165</v>
      </c>
      <c r="B73" t="s">
        <v>19</v>
      </c>
      <c r="C73" t="str">
        <f>IF(A73=Blatt1!$B$2,B73,"")</f>
        <v/>
      </c>
      <c r="D73" t="s">
        <v>283</v>
      </c>
    </row>
    <row r="74" spans="1:4" x14ac:dyDescent="0.35">
      <c r="A74" t="s">
        <v>165</v>
      </c>
      <c r="B74" t="s">
        <v>23</v>
      </c>
      <c r="C74" t="str">
        <f>IF(A74=Blatt1!$B$2,B74,"")</f>
        <v/>
      </c>
      <c r="D74" t="s">
        <v>284</v>
      </c>
    </row>
    <row r="75" spans="1:4" x14ac:dyDescent="0.35">
      <c r="A75" t="s">
        <v>165</v>
      </c>
      <c r="B75" t="s">
        <v>20</v>
      </c>
      <c r="C75" t="str">
        <f>IF(A75=Blatt1!$B$2,B75,"")</f>
        <v/>
      </c>
      <c r="D75" t="s">
        <v>283</v>
      </c>
    </row>
    <row r="76" spans="1:4" x14ac:dyDescent="0.35">
      <c r="A76" t="s">
        <v>165</v>
      </c>
      <c r="B76" t="s">
        <v>178</v>
      </c>
      <c r="C76" t="str">
        <f>IF(A76=Blatt1!$B$2,B76,"")</f>
        <v/>
      </c>
      <c r="D76" t="s">
        <v>282</v>
      </c>
    </row>
    <row r="77" spans="1:4" x14ac:dyDescent="0.35">
      <c r="A77" t="s">
        <v>165</v>
      </c>
      <c r="B77" t="s">
        <v>176</v>
      </c>
      <c r="C77" t="str">
        <f>IF(A77=Blatt1!$B$2,B77,"")</f>
        <v/>
      </c>
      <c r="D77" t="s">
        <v>282</v>
      </c>
    </row>
    <row r="78" spans="1:4" x14ac:dyDescent="0.35">
      <c r="A78" t="s">
        <v>165</v>
      </c>
      <c r="B78" t="s">
        <v>177</v>
      </c>
      <c r="C78" t="str">
        <f>IF(A78=Blatt1!$B$2,B78,"")</f>
        <v/>
      </c>
      <c r="D78" t="s">
        <v>283</v>
      </c>
    </row>
    <row r="79" spans="1:4" x14ac:dyDescent="0.35">
      <c r="A79" t="s">
        <v>165</v>
      </c>
      <c r="B79" t="s">
        <v>174</v>
      </c>
      <c r="C79" t="str">
        <f>IF(A79=Blatt1!$B$2,B79,"")</f>
        <v/>
      </c>
      <c r="D79" t="s">
        <v>283</v>
      </c>
    </row>
    <row r="80" spans="1:4" x14ac:dyDescent="0.35">
      <c r="A80" t="s">
        <v>166</v>
      </c>
      <c r="B80" t="s">
        <v>18</v>
      </c>
      <c r="C80" t="str">
        <f>IF(A80=Blatt1!$B$2,B80,"")</f>
        <v/>
      </c>
      <c r="D80" t="s">
        <v>282</v>
      </c>
    </row>
    <row r="81" spans="1:4" x14ac:dyDescent="0.35">
      <c r="A81" t="s">
        <v>166</v>
      </c>
      <c r="B81" t="s">
        <v>175</v>
      </c>
      <c r="C81" t="str">
        <f>IF(A81=Blatt1!$B$2,B81,"")</f>
        <v/>
      </c>
      <c r="D81" t="s">
        <v>284</v>
      </c>
    </row>
    <row r="82" spans="1:4" x14ac:dyDescent="0.35">
      <c r="A82" t="s">
        <v>166</v>
      </c>
      <c r="B82" t="s">
        <v>170</v>
      </c>
      <c r="C82" t="str">
        <f>IF(A82=Blatt1!$B$2,B82,"")</f>
        <v/>
      </c>
      <c r="D82" t="s">
        <v>282</v>
      </c>
    </row>
    <row r="83" spans="1:4" x14ac:dyDescent="0.35">
      <c r="A83" t="s">
        <v>166</v>
      </c>
      <c r="B83" t="s">
        <v>19</v>
      </c>
      <c r="C83" t="str">
        <f>IF(A83=Blatt1!$B$2,B83,"")</f>
        <v/>
      </c>
      <c r="D83" t="s">
        <v>283</v>
      </c>
    </row>
    <row r="84" spans="1:4" x14ac:dyDescent="0.35">
      <c r="A84" t="s">
        <v>166</v>
      </c>
      <c r="B84" t="s">
        <v>23</v>
      </c>
      <c r="C84" t="str">
        <f>IF(A84=Blatt1!$B$2,B84,"")</f>
        <v/>
      </c>
      <c r="D84" t="s">
        <v>284</v>
      </c>
    </row>
    <row r="85" spans="1:4" x14ac:dyDescent="0.35">
      <c r="A85" t="s">
        <v>166</v>
      </c>
      <c r="B85" t="s">
        <v>20</v>
      </c>
      <c r="C85" t="str">
        <f>IF(A85=Blatt1!$B$2,B85,"")</f>
        <v/>
      </c>
      <c r="D85" t="s">
        <v>283</v>
      </c>
    </row>
    <row r="86" spans="1:4" x14ac:dyDescent="0.35">
      <c r="A86" t="s">
        <v>166</v>
      </c>
      <c r="B86" t="s">
        <v>178</v>
      </c>
      <c r="C86" t="str">
        <f>IF(A86=Blatt1!$B$2,B86,"")</f>
        <v/>
      </c>
      <c r="D86" t="s">
        <v>282</v>
      </c>
    </row>
    <row r="87" spans="1:4" x14ac:dyDescent="0.35">
      <c r="A87" t="s">
        <v>166</v>
      </c>
      <c r="B87" t="s">
        <v>176</v>
      </c>
      <c r="C87" t="str">
        <f>IF(A87=Blatt1!$B$2,B87,"")</f>
        <v/>
      </c>
      <c r="D87" t="s">
        <v>282</v>
      </c>
    </row>
    <row r="88" spans="1:4" x14ac:dyDescent="0.35">
      <c r="A88" t="s">
        <v>166</v>
      </c>
      <c r="B88" t="s">
        <v>177</v>
      </c>
      <c r="C88" t="str">
        <f>IF(A88=Blatt1!$B$2,B88,"")</f>
        <v/>
      </c>
      <c r="D88" t="s">
        <v>283</v>
      </c>
    </row>
    <row r="89" spans="1:4" x14ac:dyDescent="0.35">
      <c r="A89" t="s">
        <v>166</v>
      </c>
      <c r="B89" t="s">
        <v>174</v>
      </c>
      <c r="C89" t="str">
        <f>IF(A89=Blatt1!$B$2,B89,"")</f>
        <v/>
      </c>
      <c r="D89" t="s">
        <v>283</v>
      </c>
    </row>
    <row r="90" spans="1:4" x14ac:dyDescent="0.35">
      <c r="A90" t="s">
        <v>167</v>
      </c>
      <c r="B90" t="s">
        <v>18</v>
      </c>
      <c r="C90" t="str">
        <f>IF(A90=Blatt1!$B$2,B90,"")</f>
        <v/>
      </c>
      <c r="D90" t="s">
        <v>282</v>
      </c>
    </row>
    <row r="91" spans="1:4" x14ac:dyDescent="0.35">
      <c r="A91" t="s">
        <v>167</v>
      </c>
      <c r="B91" t="s">
        <v>19</v>
      </c>
      <c r="C91" t="str">
        <f>IF(A91=Blatt1!$B$2,B91,"")</f>
        <v/>
      </c>
      <c r="D91" t="s">
        <v>283</v>
      </c>
    </row>
    <row r="92" spans="1:4" x14ac:dyDescent="0.35">
      <c r="A92" t="s">
        <v>167</v>
      </c>
      <c r="B92" t="s">
        <v>20</v>
      </c>
      <c r="C92" t="str">
        <f>IF(A92=Blatt1!$B$2,B92,"")</f>
        <v/>
      </c>
      <c r="D92" t="s">
        <v>282</v>
      </c>
    </row>
    <row r="93" spans="1:4" x14ac:dyDescent="0.35">
      <c r="A93" t="s">
        <v>167</v>
      </c>
      <c r="B93" t="s">
        <v>178</v>
      </c>
      <c r="C93" t="str">
        <f>IF(A93=Blatt1!$B$2,B93,"")</f>
        <v/>
      </c>
      <c r="D93" t="s">
        <v>283</v>
      </c>
    </row>
    <row r="94" spans="1:4" x14ac:dyDescent="0.35">
      <c r="A94" t="s">
        <v>167</v>
      </c>
      <c r="B94" t="s">
        <v>176</v>
      </c>
      <c r="C94" t="str">
        <f>IF(A94=Blatt1!$B$2,B94,"")</f>
        <v/>
      </c>
      <c r="D94" t="s">
        <v>283</v>
      </c>
    </row>
    <row r="95" spans="1:4" x14ac:dyDescent="0.35">
      <c r="A95" t="s">
        <v>167</v>
      </c>
      <c r="B95" t="s">
        <v>177</v>
      </c>
      <c r="C95" t="str">
        <f>IF(A95=Blatt1!$B$2,B95,"")</f>
        <v/>
      </c>
      <c r="D95" t="s">
        <v>283</v>
      </c>
    </row>
    <row r="96" spans="1:4" x14ac:dyDescent="0.35">
      <c r="A96" t="s">
        <v>167</v>
      </c>
      <c r="B96" t="s">
        <v>174</v>
      </c>
      <c r="C96" t="str">
        <f>IF(A96=Blatt1!$B$2,B96,"")</f>
        <v/>
      </c>
      <c r="D96" t="s">
        <v>283</v>
      </c>
    </row>
    <row r="97" spans="1:4" x14ac:dyDescent="0.35">
      <c r="A97" t="s">
        <v>1</v>
      </c>
      <c r="B97" t="s">
        <v>18</v>
      </c>
      <c r="C97" t="str">
        <f>IF(A97=Blatt1!$B$2,B97,"")</f>
        <v/>
      </c>
      <c r="D97" t="s">
        <v>282</v>
      </c>
    </row>
    <row r="98" spans="1:4" x14ac:dyDescent="0.35">
      <c r="A98" t="s">
        <v>1</v>
      </c>
      <c r="B98" t="s">
        <v>175</v>
      </c>
      <c r="C98" t="str">
        <f>IF(A98=Blatt1!$B$2,B98,"")</f>
        <v/>
      </c>
      <c r="D98" t="s">
        <v>282</v>
      </c>
    </row>
    <row r="99" spans="1:4" x14ac:dyDescent="0.35">
      <c r="A99" t="s">
        <v>1</v>
      </c>
      <c r="B99" t="s">
        <v>170</v>
      </c>
      <c r="C99" t="str">
        <f>IF(A99=Blatt1!$B$2,B99,"")</f>
        <v/>
      </c>
      <c r="D99" t="s">
        <v>282</v>
      </c>
    </row>
    <row r="100" spans="1:4" x14ac:dyDescent="0.35">
      <c r="A100" t="s">
        <v>1</v>
      </c>
      <c r="B100" t="s">
        <v>19</v>
      </c>
      <c r="C100" t="str">
        <f>IF(A100=Blatt1!$B$2,B100,"")</f>
        <v/>
      </c>
      <c r="D100" t="s">
        <v>283</v>
      </c>
    </row>
    <row r="101" spans="1:4" x14ac:dyDescent="0.35">
      <c r="A101" t="s">
        <v>1</v>
      </c>
      <c r="B101" t="s">
        <v>23</v>
      </c>
      <c r="C101" t="str">
        <f>IF(A101=Blatt1!$B$2,B101,"")</f>
        <v/>
      </c>
      <c r="D101" t="s">
        <v>284</v>
      </c>
    </row>
    <row r="102" spans="1:4" x14ac:dyDescent="0.35">
      <c r="A102" t="s">
        <v>1</v>
      </c>
      <c r="B102" t="s">
        <v>20</v>
      </c>
      <c r="C102" t="str">
        <f>IF(A102=Blatt1!$B$2,B102,"")</f>
        <v/>
      </c>
      <c r="D102" t="s">
        <v>283</v>
      </c>
    </row>
    <row r="103" spans="1:4" x14ac:dyDescent="0.35">
      <c r="A103" t="s">
        <v>1</v>
      </c>
      <c r="B103" t="s">
        <v>178</v>
      </c>
      <c r="C103" t="str">
        <f>IF(A103=Blatt1!$B$2,B103,"")</f>
        <v/>
      </c>
      <c r="D103" t="s">
        <v>283</v>
      </c>
    </row>
    <row r="104" spans="1:4" x14ac:dyDescent="0.35">
      <c r="A104" t="s">
        <v>1</v>
      </c>
      <c r="B104" t="s">
        <v>176</v>
      </c>
      <c r="C104" t="str">
        <f>IF(A104=Blatt1!$B$2,B104,"")</f>
        <v/>
      </c>
      <c r="D104" t="s">
        <v>284</v>
      </c>
    </row>
    <row r="105" spans="1:4" x14ac:dyDescent="0.35">
      <c r="A105" t="s">
        <v>1</v>
      </c>
      <c r="B105" t="s">
        <v>177</v>
      </c>
      <c r="C105" t="str">
        <f>IF(A105=Blatt1!$B$2,B105,"")</f>
        <v/>
      </c>
      <c r="D105" t="s">
        <v>284</v>
      </c>
    </row>
    <row r="106" spans="1:4" x14ac:dyDescent="0.35">
      <c r="A106" t="s">
        <v>1</v>
      </c>
      <c r="B106" t="s">
        <v>174</v>
      </c>
      <c r="C106" t="str">
        <f>IF(A106=Blatt1!$B$2,B106,"")</f>
        <v/>
      </c>
      <c r="D106" t="s">
        <v>282</v>
      </c>
    </row>
    <row r="107" spans="1:4" x14ac:dyDescent="0.35">
      <c r="A107" t="s">
        <v>22</v>
      </c>
      <c r="B107" t="s">
        <v>18</v>
      </c>
      <c r="C107" t="str">
        <f>IF(A107=Blatt1!$B$2,B107,"")</f>
        <v/>
      </c>
      <c r="D107" t="s">
        <v>283</v>
      </c>
    </row>
    <row r="108" spans="1:4" x14ac:dyDescent="0.35">
      <c r="A108" t="s">
        <v>22</v>
      </c>
      <c r="B108" t="s">
        <v>175</v>
      </c>
      <c r="C108" t="str">
        <f>IF(A108=Blatt1!$B$2,B108,"")</f>
        <v/>
      </c>
      <c r="D108" t="s">
        <v>284</v>
      </c>
    </row>
    <row r="109" spans="1:4" x14ac:dyDescent="0.35">
      <c r="A109" t="s">
        <v>22</v>
      </c>
      <c r="B109" t="s">
        <v>170</v>
      </c>
      <c r="C109" t="str">
        <f>IF(A109=Blatt1!$B$2,B109,"")</f>
        <v/>
      </c>
      <c r="D109" t="s">
        <v>284</v>
      </c>
    </row>
    <row r="110" spans="1:4" x14ac:dyDescent="0.35">
      <c r="A110" t="s">
        <v>22</v>
      </c>
      <c r="B110" t="s">
        <v>19</v>
      </c>
      <c r="C110" t="str">
        <f>IF(A110=Blatt1!$B$2,B110,"")</f>
        <v/>
      </c>
      <c r="D110" t="s">
        <v>282</v>
      </c>
    </row>
    <row r="111" spans="1:4" x14ac:dyDescent="0.35">
      <c r="A111" t="s">
        <v>22</v>
      </c>
      <c r="B111" t="s">
        <v>23</v>
      </c>
      <c r="C111" t="str">
        <f>IF(A111=Blatt1!$B$2,B111,"")</f>
        <v/>
      </c>
      <c r="D111" t="s">
        <v>283</v>
      </c>
    </row>
    <row r="112" spans="1:4" x14ac:dyDescent="0.35">
      <c r="A112" t="s">
        <v>22</v>
      </c>
      <c r="B112" t="s">
        <v>176</v>
      </c>
      <c r="C112" t="str">
        <f>IF(A112=Blatt1!$B$2,B112,"")</f>
        <v/>
      </c>
      <c r="D112" t="s">
        <v>282</v>
      </c>
    </row>
    <row r="113" spans="1:4" x14ac:dyDescent="0.35">
      <c r="A113" t="s">
        <v>22</v>
      </c>
      <c r="B113" t="s">
        <v>177</v>
      </c>
      <c r="C113" t="str">
        <f>IF(A113=Blatt1!$B$2,B113,"")</f>
        <v/>
      </c>
      <c r="D113" t="s">
        <v>282</v>
      </c>
    </row>
    <row r="114" spans="1:4" x14ac:dyDescent="0.35">
      <c r="A114" t="s">
        <v>2</v>
      </c>
      <c r="B114" t="s">
        <v>18</v>
      </c>
      <c r="C114" t="str">
        <f>IF(A114=Blatt1!$B$2,B114,"")</f>
        <v/>
      </c>
      <c r="D114" t="s">
        <v>283</v>
      </c>
    </row>
    <row r="115" spans="1:4" x14ac:dyDescent="0.35">
      <c r="A115" t="s">
        <v>2</v>
      </c>
      <c r="B115" t="s">
        <v>175</v>
      </c>
      <c r="C115" t="str">
        <f>IF(A115=Blatt1!$B$2,B115,"")</f>
        <v/>
      </c>
      <c r="D115" t="s">
        <v>284</v>
      </c>
    </row>
    <row r="116" spans="1:4" x14ac:dyDescent="0.35">
      <c r="A116" t="s">
        <v>2</v>
      </c>
      <c r="B116" t="s">
        <v>170</v>
      </c>
      <c r="C116" t="str">
        <f>IF(A116=Blatt1!$B$2,B116,"")</f>
        <v/>
      </c>
      <c r="D116" t="s">
        <v>284</v>
      </c>
    </row>
    <row r="117" spans="1:4" x14ac:dyDescent="0.35">
      <c r="A117" t="s">
        <v>2</v>
      </c>
      <c r="B117" t="s">
        <v>19</v>
      </c>
      <c r="C117" t="str">
        <f>IF(A117=Blatt1!$B$2,B117,"")</f>
        <v/>
      </c>
      <c r="D117" t="s">
        <v>282</v>
      </c>
    </row>
    <row r="118" spans="1:4" x14ac:dyDescent="0.35">
      <c r="A118" t="s">
        <v>2</v>
      </c>
      <c r="B118" t="s">
        <v>23</v>
      </c>
      <c r="C118" t="str">
        <f>IF(A118=Blatt1!$B$2,B118,"")</f>
        <v/>
      </c>
      <c r="D118" t="s">
        <v>283</v>
      </c>
    </row>
    <row r="119" spans="1:4" x14ac:dyDescent="0.35">
      <c r="A119" t="s">
        <v>2</v>
      </c>
      <c r="B119" t="s">
        <v>176</v>
      </c>
      <c r="C119" t="str">
        <f>IF(A119=Blatt1!$B$2,B119,"")</f>
        <v/>
      </c>
      <c r="D119" t="s">
        <v>282</v>
      </c>
    </row>
    <row r="120" spans="1:4" x14ac:dyDescent="0.35">
      <c r="A120" t="s">
        <v>2</v>
      </c>
      <c r="B120" t="s">
        <v>177</v>
      </c>
      <c r="C120" t="str">
        <f>IF(A120=Blatt1!$B$2,B120,"")</f>
        <v/>
      </c>
      <c r="D120" t="s">
        <v>282</v>
      </c>
    </row>
    <row r="121" spans="1:4" x14ac:dyDescent="0.35">
      <c r="A121" t="s">
        <v>276</v>
      </c>
      <c r="B121" t="s">
        <v>177</v>
      </c>
      <c r="C121" t="str">
        <f>IF(A121=Blatt1!$B$2,B121,"")</f>
        <v/>
      </c>
      <c r="D121" t="s">
        <v>283</v>
      </c>
    </row>
    <row r="122" spans="1:4" x14ac:dyDescent="0.35">
      <c r="A122" t="s">
        <v>171</v>
      </c>
      <c r="B122" t="s">
        <v>18</v>
      </c>
      <c r="C122" t="str">
        <f>IF(A122=Blatt1!$B$2,B122,"")</f>
        <v/>
      </c>
      <c r="D122" t="s">
        <v>282</v>
      </c>
    </row>
    <row r="123" spans="1:4" x14ac:dyDescent="0.35">
      <c r="A123" t="s">
        <v>171</v>
      </c>
      <c r="B123" t="s">
        <v>175</v>
      </c>
      <c r="C123" t="str">
        <f>IF(A123=Blatt1!$B$2,B123,"")</f>
        <v/>
      </c>
      <c r="D123" t="s">
        <v>283</v>
      </c>
    </row>
    <row r="124" spans="1:4" x14ac:dyDescent="0.35">
      <c r="A124" t="s">
        <v>171</v>
      </c>
      <c r="B124" t="s">
        <v>170</v>
      </c>
      <c r="C124" t="str">
        <f>IF(A124=Blatt1!$B$2,B124,"")</f>
        <v/>
      </c>
      <c r="D124" t="s">
        <v>283</v>
      </c>
    </row>
    <row r="125" spans="1:4" x14ac:dyDescent="0.35">
      <c r="A125" t="s">
        <v>171</v>
      </c>
      <c r="B125" t="s">
        <v>19</v>
      </c>
      <c r="C125" t="str">
        <f>IF(A125=Blatt1!$B$2,B125,"")</f>
        <v/>
      </c>
      <c r="D125" t="s">
        <v>282</v>
      </c>
    </row>
    <row r="126" spans="1:4" x14ac:dyDescent="0.35">
      <c r="A126" t="s">
        <v>171</v>
      </c>
      <c r="B126" t="s">
        <v>23</v>
      </c>
      <c r="C126" t="str">
        <f>IF(A126=Blatt1!$B$2,B126,"")</f>
        <v/>
      </c>
      <c r="D126" t="s">
        <v>284</v>
      </c>
    </row>
    <row r="127" spans="1:4" x14ac:dyDescent="0.35">
      <c r="A127" t="s">
        <v>171</v>
      </c>
      <c r="B127" t="s">
        <v>20</v>
      </c>
      <c r="C127" t="str">
        <f>IF(A127=Blatt1!$B$2,B127,"")</f>
        <v/>
      </c>
      <c r="D127" t="s">
        <v>284</v>
      </c>
    </row>
    <row r="128" spans="1:4" x14ac:dyDescent="0.35">
      <c r="A128" t="s">
        <v>171</v>
      </c>
      <c r="B128" t="s">
        <v>176</v>
      </c>
      <c r="C128" t="str">
        <f>IF(A128=Blatt1!$B$2,B128,"")</f>
        <v/>
      </c>
      <c r="D128" t="s">
        <v>282</v>
      </c>
    </row>
    <row r="129" spans="1:4" x14ac:dyDescent="0.35">
      <c r="A129" t="s">
        <v>171</v>
      </c>
      <c r="B129" t="s">
        <v>177</v>
      </c>
      <c r="C129" t="str">
        <f>IF(A129=Blatt1!$B$2,B129,"")</f>
        <v/>
      </c>
      <c r="D129" t="s">
        <v>282</v>
      </c>
    </row>
    <row r="130" spans="1:4" x14ac:dyDescent="0.35">
      <c r="A130" t="s">
        <v>171</v>
      </c>
      <c r="B130" t="s">
        <v>174</v>
      </c>
      <c r="C130" t="str">
        <f>IF(A130=Blatt1!$B$2,B130,"")</f>
        <v/>
      </c>
      <c r="D130" t="s">
        <v>282</v>
      </c>
    </row>
    <row r="131" spans="1:4" x14ac:dyDescent="0.35">
      <c r="A131" t="s">
        <v>172</v>
      </c>
      <c r="B131" t="s">
        <v>18</v>
      </c>
      <c r="C131" t="str">
        <f>IF(A131=Blatt1!$B$2,B131,"")</f>
        <v/>
      </c>
      <c r="D131" t="s">
        <v>283</v>
      </c>
    </row>
    <row r="132" spans="1:4" x14ac:dyDescent="0.35">
      <c r="A132" t="s">
        <v>172</v>
      </c>
      <c r="B132" t="s">
        <v>175</v>
      </c>
      <c r="C132" t="str">
        <f>IF(A132=Blatt1!$B$2,B132,"")</f>
        <v/>
      </c>
      <c r="D132" t="s">
        <v>283</v>
      </c>
    </row>
    <row r="133" spans="1:4" x14ac:dyDescent="0.35">
      <c r="A133" t="s">
        <v>172</v>
      </c>
      <c r="B133" t="s">
        <v>170</v>
      </c>
      <c r="C133" t="str">
        <f>IF(A133=Blatt1!$B$2,B133,"")</f>
        <v/>
      </c>
      <c r="D133" t="s">
        <v>283</v>
      </c>
    </row>
    <row r="134" spans="1:4" x14ac:dyDescent="0.35">
      <c r="A134" t="s">
        <v>172</v>
      </c>
      <c r="B134" t="s">
        <v>19</v>
      </c>
      <c r="C134" t="str">
        <f>IF(A134=Blatt1!$B$2,B134,"")</f>
        <v/>
      </c>
      <c r="D134" t="s">
        <v>283</v>
      </c>
    </row>
    <row r="135" spans="1:4" x14ac:dyDescent="0.35">
      <c r="A135" t="s">
        <v>172</v>
      </c>
      <c r="B135" t="s">
        <v>23</v>
      </c>
      <c r="C135" t="str">
        <f>IF(A135=Blatt1!$B$2,B135,"")</f>
        <v/>
      </c>
      <c r="D135" t="s">
        <v>282</v>
      </c>
    </row>
    <row r="136" spans="1:4" x14ac:dyDescent="0.35">
      <c r="A136" t="s">
        <v>172</v>
      </c>
      <c r="B136" t="s">
        <v>20</v>
      </c>
      <c r="C136" t="str">
        <f>IF(A136=Blatt1!$B$2,B136,"")</f>
        <v/>
      </c>
      <c r="D136" t="s">
        <v>282</v>
      </c>
    </row>
    <row r="137" spans="1:4" x14ac:dyDescent="0.35">
      <c r="A137" t="s">
        <v>172</v>
      </c>
      <c r="B137" t="s">
        <v>178</v>
      </c>
      <c r="C137" t="str">
        <f>IF(A137=Blatt1!$B$2,B137,"")</f>
        <v/>
      </c>
      <c r="D137" t="s">
        <v>282</v>
      </c>
    </row>
    <row r="138" spans="1:4" x14ac:dyDescent="0.35">
      <c r="A138" t="s">
        <v>172</v>
      </c>
      <c r="B138" t="s">
        <v>176</v>
      </c>
      <c r="C138" t="str">
        <f>IF(A138=Blatt1!$B$2,B138,"")</f>
        <v/>
      </c>
      <c r="D138" t="s">
        <v>282</v>
      </c>
    </row>
    <row r="139" spans="1:4" x14ac:dyDescent="0.35">
      <c r="A139" t="s">
        <v>172</v>
      </c>
      <c r="B139" t="s">
        <v>177</v>
      </c>
      <c r="C139" t="str">
        <f>IF(A139=Blatt1!$B$2,B139,"")</f>
        <v/>
      </c>
      <c r="D139" t="s">
        <v>283</v>
      </c>
    </row>
    <row r="140" spans="1:4" x14ac:dyDescent="0.35">
      <c r="A140" t="s">
        <v>172</v>
      </c>
      <c r="B140" t="s">
        <v>174</v>
      </c>
      <c r="C140" t="str">
        <f>IF(A140=Blatt1!$B$2,B140,"")</f>
        <v/>
      </c>
      <c r="D140" t="s">
        <v>284</v>
      </c>
    </row>
    <row r="141" spans="1:4" x14ac:dyDescent="0.35">
      <c r="A141" t="s">
        <v>173</v>
      </c>
      <c r="B141" t="s">
        <v>18</v>
      </c>
      <c r="C141" t="str">
        <f>IF(A141=Blatt1!$B$2,B141,"")</f>
        <v/>
      </c>
      <c r="D141" t="s">
        <v>282</v>
      </c>
    </row>
    <row r="142" spans="1:4" x14ac:dyDescent="0.35">
      <c r="A142" t="s">
        <v>173</v>
      </c>
      <c r="B142" t="s">
        <v>175</v>
      </c>
      <c r="C142" t="str">
        <f>IF(A142=Blatt1!$B$2,B142,"")</f>
        <v/>
      </c>
      <c r="D142" t="s">
        <v>282</v>
      </c>
    </row>
    <row r="143" spans="1:4" x14ac:dyDescent="0.35">
      <c r="A143" t="s">
        <v>173</v>
      </c>
      <c r="B143" t="s">
        <v>170</v>
      </c>
      <c r="C143" t="str">
        <f>IF(A143=Blatt1!$B$2,B143,"")</f>
        <v/>
      </c>
      <c r="D143" t="s">
        <v>282</v>
      </c>
    </row>
    <row r="144" spans="1:4" x14ac:dyDescent="0.35">
      <c r="A144" t="s">
        <v>173</v>
      </c>
      <c r="B144" t="s">
        <v>19</v>
      </c>
      <c r="C144" t="str">
        <f>IF(A144=Blatt1!$B$2,B144,"")</f>
        <v/>
      </c>
      <c r="D144" t="s">
        <v>283</v>
      </c>
    </row>
    <row r="145" spans="1:4" x14ac:dyDescent="0.35">
      <c r="A145" t="s">
        <v>173</v>
      </c>
      <c r="B145" t="s">
        <v>23</v>
      </c>
      <c r="C145" t="str">
        <f>IF(A145=Blatt1!$B$2,B145,"")</f>
        <v/>
      </c>
      <c r="D145" t="s">
        <v>282</v>
      </c>
    </row>
    <row r="146" spans="1:4" x14ac:dyDescent="0.35">
      <c r="A146" t="s">
        <v>173</v>
      </c>
      <c r="B146" t="s">
        <v>20</v>
      </c>
      <c r="C146" t="str">
        <f>IF(A146=Blatt1!$B$2,B146,"")</f>
        <v/>
      </c>
      <c r="D146" t="s">
        <v>282</v>
      </c>
    </row>
    <row r="147" spans="1:4" x14ac:dyDescent="0.35">
      <c r="A147" t="s">
        <v>173</v>
      </c>
      <c r="B147" t="s">
        <v>178</v>
      </c>
      <c r="C147" t="str">
        <f>IF(A147=Blatt1!$B$2,B147,"")</f>
        <v/>
      </c>
      <c r="D147" t="s">
        <v>283</v>
      </c>
    </row>
    <row r="148" spans="1:4" x14ac:dyDescent="0.35">
      <c r="A148" t="s">
        <v>173</v>
      </c>
      <c r="B148" t="s">
        <v>176</v>
      </c>
      <c r="C148" t="str">
        <f>IF(A148=Blatt1!$B$2,B148,"")</f>
        <v/>
      </c>
      <c r="D148" t="s">
        <v>283</v>
      </c>
    </row>
    <row r="149" spans="1:4" x14ac:dyDescent="0.35">
      <c r="A149" t="s">
        <v>173</v>
      </c>
      <c r="B149" t="s">
        <v>177</v>
      </c>
      <c r="C149" t="str">
        <f>IF(A149=Blatt1!$B$2,B149,"")</f>
        <v/>
      </c>
      <c r="D149" t="s">
        <v>282</v>
      </c>
    </row>
    <row r="150" spans="1:4" x14ac:dyDescent="0.35">
      <c r="A150" t="s">
        <v>173</v>
      </c>
      <c r="B150" t="s">
        <v>174</v>
      </c>
      <c r="C150" t="str">
        <f>IF(A150=Blatt1!$B$2,B150,"")</f>
        <v/>
      </c>
      <c r="D150" t="s">
        <v>282</v>
      </c>
    </row>
    <row r="151" spans="1:4" x14ac:dyDescent="0.35">
      <c r="A151" s="9" t="s">
        <v>278</v>
      </c>
      <c r="B151" t="s">
        <v>18</v>
      </c>
      <c r="C151" t="str">
        <f>IF(A151=Blatt1!$B$2,B151,"")</f>
        <v/>
      </c>
      <c r="D151" t="s">
        <v>283</v>
      </c>
    </row>
    <row r="152" spans="1:4" x14ac:dyDescent="0.35">
      <c r="A152" s="9" t="s">
        <v>278</v>
      </c>
      <c r="B152" t="s">
        <v>175</v>
      </c>
      <c r="C152" t="str">
        <f>IF(A152=Blatt1!$B$2,B152,"")</f>
        <v/>
      </c>
      <c r="D152" t="s">
        <v>282</v>
      </c>
    </row>
    <row r="153" spans="1:4" x14ac:dyDescent="0.35">
      <c r="A153" s="9" t="s">
        <v>278</v>
      </c>
      <c r="B153" t="s">
        <v>170</v>
      </c>
      <c r="C153" t="str">
        <f>IF(A153=Blatt1!$B$2,B153,"")</f>
        <v/>
      </c>
      <c r="D153" t="s">
        <v>282</v>
      </c>
    </row>
    <row r="154" spans="1:4" x14ac:dyDescent="0.35">
      <c r="A154" s="9" t="s">
        <v>278</v>
      </c>
      <c r="B154" t="s">
        <v>19</v>
      </c>
      <c r="C154" t="str">
        <f>IF(A154=Blatt1!$B$2,B154,"")</f>
        <v/>
      </c>
      <c r="D154" t="s">
        <v>282</v>
      </c>
    </row>
    <row r="155" spans="1:4" x14ac:dyDescent="0.35">
      <c r="A155" s="9" t="s">
        <v>278</v>
      </c>
      <c r="B155" t="s">
        <v>23</v>
      </c>
      <c r="C155" t="str">
        <f>IF(A155=Blatt1!$B$2,B155,"")</f>
        <v/>
      </c>
      <c r="D155" t="s">
        <v>283</v>
      </c>
    </row>
    <row r="156" spans="1:4" x14ac:dyDescent="0.35">
      <c r="A156" s="9" t="s">
        <v>278</v>
      </c>
      <c r="B156" t="s">
        <v>20</v>
      </c>
      <c r="C156" t="str">
        <f>IF(A156=Blatt1!$B$2,B156,"")</f>
        <v/>
      </c>
      <c r="D156" t="s">
        <v>284</v>
      </c>
    </row>
    <row r="157" spans="1:4" x14ac:dyDescent="0.35">
      <c r="A157" s="9" t="s">
        <v>278</v>
      </c>
      <c r="B157" t="s">
        <v>178</v>
      </c>
      <c r="C157" t="str">
        <f>IF(A157=Blatt1!$B$2,B157,"")</f>
        <v/>
      </c>
      <c r="D157" t="s">
        <v>283</v>
      </c>
    </row>
    <row r="158" spans="1:4" x14ac:dyDescent="0.35">
      <c r="A158" s="9" t="s">
        <v>278</v>
      </c>
      <c r="B158" t="s">
        <v>176</v>
      </c>
      <c r="C158" t="str">
        <f>IF(A158=Blatt1!$B$2,B158,"")</f>
        <v/>
      </c>
      <c r="D158" t="s">
        <v>283</v>
      </c>
    </row>
    <row r="159" spans="1:4" x14ac:dyDescent="0.35">
      <c r="A159" s="9" t="s">
        <v>278</v>
      </c>
      <c r="B159" t="s">
        <v>177</v>
      </c>
      <c r="C159" t="str">
        <f>IF(A159=Blatt1!$B$2,B159,"")</f>
        <v/>
      </c>
      <c r="D159" t="s">
        <v>283</v>
      </c>
    </row>
    <row r="160" spans="1:4" x14ac:dyDescent="0.35">
      <c r="A160" t="s">
        <v>179</v>
      </c>
      <c r="B160" t="s">
        <v>180</v>
      </c>
      <c r="C160" t="str">
        <f>IF(A160=Blatt1!$B$2,B160,"")</f>
        <v/>
      </c>
      <c r="D160" t="s">
        <v>283</v>
      </c>
    </row>
    <row r="161" spans="1:4" x14ac:dyDescent="0.35">
      <c r="A161" t="s">
        <v>181</v>
      </c>
      <c r="B161" t="s">
        <v>18</v>
      </c>
      <c r="C161" t="str">
        <f>IF(A161=Blatt1!$B$2,B161,"")</f>
        <v/>
      </c>
      <c r="D161" t="s">
        <v>283</v>
      </c>
    </row>
    <row r="162" spans="1:4" x14ac:dyDescent="0.35">
      <c r="A162" t="s">
        <v>181</v>
      </c>
      <c r="B162" t="s">
        <v>23</v>
      </c>
      <c r="C162" t="str">
        <f>IF(A162=Blatt1!$B$2,B162,"")</f>
        <v/>
      </c>
      <c r="D162" t="s">
        <v>282</v>
      </c>
    </row>
    <row r="163" spans="1:4" x14ac:dyDescent="0.35">
      <c r="A163" t="s">
        <v>181</v>
      </c>
      <c r="B163" t="s">
        <v>177</v>
      </c>
      <c r="C163" t="str">
        <f>IF(A163=Blatt1!$B$2,B163,"")</f>
        <v/>
      </c>
      <c r="D163" t="s">
        <v>283</v>
      </c>
    </row>
    <row r="164" spans="1:4" x14ac:dyDescent="0.35">
      <c r="A164" t="s">
        <v>181</v>
      </c>
      <c r="B164" t="s">
        <v>174</v>
      </c>
      <c r="C164" t="str">
        <f>IF(A164=Blatt1!$B$2,B164,"")</f>
        <v/>
      </c>
      <c r="D164" t="s">
        <v>283</v>
      </c>
    </row>
    <row r="165" spans="1:4" x14ac:dyDescent="0.35">
      <c r="A165" t="s">
        <v>181</v>
      </c>
      <c r="B165" t="s">
        <v>182</v>
      </c>
      <c r="C165" t="str">
        <f>IF(A165=Blatt1!$B$2,B165,"")</f>
        <v/>
      </c>
      <c r="D165" t="s">
        <v>283</v>
      </c>
    </row>
    <row r="166" spans="1:4" x14ac:dyDescent="0.35">
      <c r="A166" t="s">
        <v>181</v>
      </c>
      <c r="B166" t="s">
        <v>183</v>
      </c>
      <c r="C166" t="str">
        <f>IF(A166=Blatt1!$B$2,B166,"")</f>
        <v/>
      </c>
      <c r="D166" t="s">
        <v>283</v>
      </c>
    </row>
    <row r="167" spans="1:4" x14ac:dyDescent="0.35">
      <c r="A167" t="s">
        <v>250</v>
      </c>
      <c r="B167" t="s">
        <v>18</v>
      </c>
      <c r="C167" t="str">
        <f>IF(A167=Blatt1!$B$2,B167,"")</f>
        <v/>
      </c>
      <c r="D167" t="s">
        <v>283</v>
      </c>
    </row>
    <row r="168" spans="1:4" x14ac:dyDescent="0.35">
      <c r="A168" t="s">
        <v>250</v>
      </c>
      <c r="B168" t="s">
        <v>175</v>
      </c>
      <c r="C168" t="str">
        <f>IF(A168=Blatt1!$B$2,B168,"")</f>
        <v/>
      </c>
      <c r="D168" t="s">
        <v>282</v>
      </c>
    </row>
    <row r="169" spans="1:4" x14ac:dyDescent="0.35">
      <c r="A169" t="s">
        <v>250</v>
      </c>
      <c r="B169" t="s">
        <v>170</v>
      </c>
      <c r="C169" t="str">
        <f>IF(A169=Blatt1!$B$2,B169,"")</f>
        <v/>
      </c>
      <c r="D169" t="s">
        <v>282</v>
      </c>
    </row>
    <row r="170" spans="1:4" x14ac:dyDescent="0.35">
      <c r="A170" t="s">
        <v>250</v>
      </c>
      <c r="B170" t="s">
        <v>19</v>
      </c>
      <c r="C170" t="str">
        <f>IF(A170=Blatt1!$B$2,B170,"")</f>
        <v/>
      </c>
      <c r="D170" t="s">
        <v>282</v>
      </c>
    </row>
    <row r="171" spans="1:4" x14ac:dyDescent="0.35">
      <c r="A171" t="s">
        <v>250</v>
      </c>
      <c r="B171" t="s">
        <v>23</v>
      </c>
      <c r="C171" t="str">
        <f>IF(A171=Blatt1!$B$2,B171,"")</f>
        <v/>
      </c>
      <c r="D171" t="s">
        <v>283</v>
      </c>
    </row>
    <row r="172" spans="1:4" x14ac:dyDescent="0.35">
      <c r="A172" t="s">
        <v>250</v>
      </c>
      <c r="B172" t="s">
        <v>20</v>
      </c>
      <c r="C172" t="str">
        <f>IF(A172=Blatt1!$B$2,B172,"")</f>
        <v/>
      </c>
      <c r="D172" t="s">
        <v>284</v>
      </c>
    </row>
    <row r="173" spans="1:4" x14ac:dyDescent="0.35">
      <c r="A173" t="s">
        <v>250</v>
      </c>
      <c r="B173" t="s">
        <v>178</v>
      </c>
      <c r="C173" t="str">
        <f>IF(A173=Blatt1!$B$2,B173,"")</f>
        <v/>
      </c>
      <c r="D173" t="s">
        <v>283</v>
      </c>
    </row>
    <row r="174" spans="1:4" x14ac:dyDescent="0.35">
      <c r="A174" t="s">
        <v>250</v>
      </c>
      <c r="B174" t="s">
        <v>176</v>
      </c>
      <c r="C174" t="str">
        <f>IF(A174=Blatt1!$B$2,B174,"")</f>
        <v/>
      </c>
      <c r="D174" t="s">
        <v>283</v>
      </c>
    </row>
    <row r="175" spans="1:4" x14ac:dyDescent="0.35">
      <c r="A175" t="s">
        <v>250</v>
      </c>
      <c r="B175" t="s">
        <v>177</v>
      </c>
      <c r="C175" t="str">
        <f>IF(A175=Blatt1!$B$2,B175,"")</f>
        <v/>
      </c>
      <c r="D175" t="s">
        <v>283</v>
      </c>
    </row>
    <row r="176" spans="1:4" x14ac:dyDescent="0.35">
      <c r="A176" t="s">
        <v>251</v>
      </c>
      <c r="B176" t="s">
        <v>18</v>
      </c>
      <c r="C176" t="str">
        <f>IF(A176=Blatt1!$B$2,B176,"")</f>
        <v/>
      </c>
      <c r="D176" t="s">
        <v>283</v>
      </c>
    </row>
    <row r="177" spans="1:4" x14ac:dyDescent="0.35">
      <c r="A177" t="s">
        <v>251</v>
      </c>
      <c r="B177" t="s">
        <v>175</v>
      </c>
      <c r="C177" t="str">
        <f>IF(A177=Blatt1!$B$2,B177,"")</f>
        <v/>
      </c>
      <c r="D177" t="s">
        <v>282</v>
      </c>
    </row>
    <row r="178" spans="1:4" x14ac:dyDescent="0.35">
      <c r="A178" t="s">
        <v>251</v>
      </c>
      <c r="B178" t="s">
        <v>170</v>
      </c>
      <c r="C178" t="str">
        <f>IF(A178=Blatt1!$B$2,B178,"")</f>
        <v/>
      </c>
      <c r="D178" t="s">
        <v>282</v>
      </c>
    </row>
    <row r="179" spans="1:4" x14ac:dyDescent="0.35">
      <c r="A179" t="s">
        <v>251</v>
      </c>
      <c r="B179" t="s">
        <v>19</v>
      </c>
      <c r="C179" t="str">
        <f>IF(A179=Blatt1!$B$2,B179,"")</f>
        <v/>
      </c>
      <c r="D179" t="s">
        <v>283</v>
      </c>
    </row>
    <row r="180" spans="1:4" x14ac:dyDescent="0.35">
      <c r="A180" t="s">
        <v>251</v>
      </c>
      <c r="B180" t="s">
        <v>23</v>
      </c>
      <c r="C180" t="str">
        <f>IF(A180=Blatt1!$B$2,B180,"")</f>
        <v/>
      </c>
      <c r="D180" t="s">
        <v>283</v>
      </c>
    </row>
    <row r="181" spans="1:4" x14ac:dyDescent="0.35">
      <c r="A181" t="s">
        <v>251</v>
      </c>
      <c r="B181" t="s">
        <v>20</v>
      </c>
      <c r="C181" t="str">
        <f>IF(A181=Blatt1!$B$2,B181,"")</f>
        <v/>
      </c>
      <c r="D181" t="s">
        <v>282</v>
      </c>
    </row>
    <row r="182" spans="1:4" x14ac:dyDescent="0.35">
      <c r="A182" t="s">
        <v>251</v>
      </c>
      <c r="B182" t="s">
        <v>176</v>
      </c>
      <c r="C182" t="str">
        <f>IF(A182=Blatt1!$B$2,B182,"")</f>
        <v/>
      </c>
      <c r="D182" t="s">
        <v>282</v>
      </c>
    </row>
    <row r="183" spans="1:4" x14ac:dyDescent="0.35">
      <c r="A183" t="s">
        <v>251</v>
      </c>
      <c r="B183" t="s">
        <v>177</v>
      </c>
      <c r="C183" t="str">
        <f>IF(A183=Blatt1!$B$2,B183,"")</f>
        <v/>
      </c>
      <c r="D183" t="s">
        <v>283</v>
      </c>
    </row>
    <row r="184" spans="1:4" x14ac:dyDescent="0.35">
      <c r="A184" t="s">
        <v>251</v>
      </c>
      <c r="B184" t="s">
        <v>174</v>
      </c>
      <c r="C184" t="str">
        <f>IF(A184=Blatt1!$B$2,B184,"")</f>
        <v/>
      </c>
      <c r="D184" t="s">
        <v>283</v>
      </c>
    </row>
    <row r="185" spans="1:4" x14ac:dyDescent="0.35">
      <c r="A185" t="s">
        <v>252</v>
      </c>
      <c r="B185" t="s">
        <v>18</v>
      </c>
      <c r="C185" t="str">
        <f>IF(A185=Blatt1!$B$2,B185,"")</f>
        <v/>
      </c>
      <c r="D185" t="s">
        <v>283</v>
      </c>
    </row>
    <row r="186" spans="1:4" x14ac:dyDescent="0.35">
      <c r="A186" t="s">
        <v>252</v>
      </c>
      <c r="B186" t="s">
        <v>175</v>
      </c>
      <c r="C186" t="str">
        <f>IF(A186=Blatt1!$B$2,B186,"")</f>
        <v/>
      </c>
      <c r="D186" t="s">
        <v>282</v>
      </c>
    </row>
    <row r="187" spans="1:4" x14ac:dyDescent="0.35">
      <c r="A187" t="s">
        <v>252</v>
      </c>
      <c r="B187" t="s">
        <v>170</v>
      </c>
      <c r="C187" t="str">
        <f>IF(A187=Blatt1!$B$2,B187,"")</f>
        <v/>
      </c>
      <c r="D187" t="s">
        <v>282</v>
      </c>
    </row>
    <row r="188" spans="1:4" x14ac:dyDescent="0.35">
      <c r="A188" t="s">
        <v>252</v>
      </c>
      <c r="B188" t="s">
        <v>19</v>
      </c>
      <c r="C188" t="str">
        <f>IF(A188=Blatt1!$B$2,B188,"")</f>
        <v/>
      </c>
      <c r="D188" t="s">
        <v>283</v>
      </c>
    </row>
    <row r="189" spans="1:4" x14ac:dyDescent="0.35">
      <c r="A189" t="s">
        <v>252</v>
      </c>
      <c r="B189" t="s">
        <v>23</v>
      </c>
      <c r="C189" t="str">
        <f>IF(A189=Blatt1!$B$2,B189,"")</f>
        <v/>
      </c>
      <c r="D189" t="s">
        <v>283</v>
      </c>
    </row>
    <row r="190" spans="1:4" x14ac:dyDescent="0.35">
      <c r="A190" t="s">
        <v>252</v>
      </c>
      <c r="B190" t="s">
        <v>20</v>
      </c>
      <c r="C190" t="str">
        <f>IF(A190=Blatt1!$B$2,B190,"")</f>
        <v/>
      </c>
      <c r="D190" t="s">
        <v>282</v>
      </c>
    </row>
    <row r="191" spans="1:4" x14ac:dyDescent="0.35">
      <c r="A191" t="s">
        <v>252</v>
      </c>
      <c r="B191" t="s">
        <v>178</v>
      </c>
      <c r="C191" t="str">
        <f>IF(A191=Blatt1!$B$2,B191,"")</f>
        <v/>
      </c>
      <c r="D191" t="s">
        <v>282</v>
      </c>
    </row>
    <row r="192" spans="1:4" x14ac:dyDescent="0.35">
      <c r="A192" t="s">
        <v>252</v>
      </c>
      <c r="B192" t="s">
        <v>176</v>
      </c>
      <c r="C192" t="str">
        <f>IF(A192=Blatt1!$B$2,B192,"")</f>
        <v/>
      </c>
      <c r="D192" t="s">
        <v>283</v>
      </c>
    </row>
    <row r="193" spans="1:4" x14ac:dyDescent="0.35">
      <c r="A193" t="s">
        <v>252</v>
      </c>
      <c r="B193" t="s">
        <v>177</v>
      </c>
      <c r="C193" t="str">
        <f>IF(A193=Blatt1!$B$2,B193,"")</f>
        <v/>
      </c>
      <c r="D193" t="s">
        <v>283</v>
      </c>
    </row>
    <row r="194" spans="1:4" x14ac:dyDescent="0.35">
      <c r="A194" t="s">
        <v>253</v>
      </c>
      <c r="B194" t="s">
        <v>18</v>
      </c>
      <c r="C194" t="str">
        <f>IF(A194=Blatt1!$B$2,B194,"")</f>
        <v/>
      </c>
      <c r="D194" t="s">
        <v>282</v>
      </c>
    </row>
    <row r="195" spans="1:4" x14ac:dyDescent="0.35">
      <c r="A195" t="s">
        <v>253</v>
      </c>
      <c r="B195" t="s">
        <v>175</v>
      </c>
      <c r="C195" t="str">
        <f>IF(A195=Blatt1!$B$2,B195,"")</f>
        <v/>
      </c>
      <c r="D195" t="s">
        <v>283</v>
      </c>
    </row>
    <row r="196" spans="1:4" x14ac:dyDescent="0.35">
      <c r="A196" t="s">
        <v>253</v>
      </c>
      <c r="B196" t="s">
        <v>170</v>
      </c>
      <c r="C196" t="str">
        <f>IF(A196=Blatt1!$B$2,B196,"")</f>
        <v/>
      </c>
      <c r="D196" t="s">
        <v>283</v>
      </c>
    </row>
    <row r="197" spans="1:4" x14ac:dyDescent="0.35">
      <c r="A197" t="s">
        <v>253</v>
      </c>
      <c r="B197" t="s">
        <v>19</v>
      </c>
      <c r="C197" t="str">
        <f>IF(A197=Blatt1!$B$2,B197,"")</f>
        <v/>
      </c>
      <c r="D197" t="s">
        <v>283</v>
      </c>
    </row>
    <row r="198" spans="1:4" x14ac:dyDescent="0.35">
      <c r="A198" t="s">
        <v>253</v>
      </c>
      <c r="B198" t="s">
        <v>23</v>
      </c>
      <c r="C198" t="str">
        <f>IF(A198=Blatt1!$B$2,B198,"")</f>
        <v/>
      </c>
      <c r="D198" t="s">
        <v>282</v>
      </c>
    </row>
    <row r="199" spans="1:4" x14ac:dyDescent="0.35">
      <c r="A199" t="s">
        <v>253</v>
      </c>
      <c r="B199" t="s">
        <v>176</v>
      </c>
      <c r="C199" t="str">
        <f>IF(A199=Blatt1!$B$2,B199,"")</f>
        <v/>
      </c>
      <c r="D199" t="s">
        <v>282</v>
      </c>
    </row>
    <row r="200" spans="1:4" x14ac:dyDescent="0.35">
      <c r="A200" t="s">
        <v>253</v>
      </c>
      <c r="B200" t="s">
        <v>177</v>
      </c>
      <c r="C200" t="str">
        <f>IF(A200=Blatt1!$B$2,B200,"")</f>
        <v/>
      </c>
      <c r="D200" t="s">
        <v>282</v>
      </c>
    </row>
    <row r="201" spans="1:4" x14ac:dyDescent="0.35">
      <c r="A201" t="s">
        <v>254</v>
      </c>
      <c r="B201" t="s">
        <v>18</v>
      </c>
      <c r="C201" t="str">
        <f>IF(A201=Blatt1!$B$2,B201,"")</f>
        <v/>
      </c>
      <c r="D201" t="s">
        <v>282</v>
      </c>
    </row>
    <row r="202" spans="1:4" x14ac:dyDescent="0.35">
      <c r="A202" t="s">
        <v>254</v>
      </c>
      <c r="B202" t="s">
        <v>175</v>
      </c>
      <c r="C202" t="str">
        <f>IF(A202=Blatt1!$B$2,B202,"")</f>
        <v/>
      </c>
      <c r="D202" t="s">
        <v>283</v>
      </c>
    </row>
    <row r="203" spans="1:4" x14ac:dyDescent="0.35">
      <c r="A203" t="s">
        <v>254</v>
      </c>
      <c r="B203" t="s">
        <v>170</v>
      </c>
      <c r="C203" t="str">
        <f>IF(A203=Blatt1!$B$2,B203,"")</f>
        <v/>
      </c>
      <c r="D203" t="s">
        <v>283</v>
      </c>
    </row>
    <row r="204" spans="1:4" x14ac:dyDescent="0.35">
      <c r="A204" t="s">
        <v>254</v>
      </c>
      <c r="B204" t="s">
        <v>19</v>
      </c>
      <c r="C204" t="str">
        <f>IF(A204=Blatt1!$B$2,B204,"")</f>
        <v/>
      </c>
      <c r="D204" t="s">
        <v>283</v>
      </c>
    </row>
    <row r="205" spans="1:4" x14ac:dyDescent="0.35">
      <c r="A205" t="s">
        <v>254</v>
      </c>
      <c r="B205" t="s">
        <v>23</v>
      </c>
      <c r="C205" t="str">
        <f>IF(A205=Blatt1!$B$2,B205,"")</f>
        <v/>
      </c>
      <c r="D205" t="s">
        <v>282</v>
      </c>
    </row>
    <row r="206" spans="1:4" x14ac:dyDescent="0.35">
      <c r="A206" t="s">
        <v>254</v>
      </c>
      <c r="B206" t="s">
        <v>176</v>
      </c>
      <c r="C206" t="str">
        <f>IF(A206=Blatt1!$B$2,B206,"")</f>
        <v/>
      </c>
      <c r="D206" t="s">
        <v>282</v>
      </c>
    </row>
    <row r="207" spans="1:4" x14ac:dyDescent="0.35">
      <c r="A207" t="s">
        <v>254</v>
      </c>
      <c r="B207" t="s">
        <v>177</v>
      </c>
      <c r="C207" t="str">
        <f>IF(A207=Blatt1!$B$2,B207,"")</f>
        <v/>
      </c>
      <c r="D207" t="s">
        <v>282</v>
      </c>
    </row>
    <row r="208" spans="1:4" x14ac:dyDescent="0.35">
      <c r="A208" t="s">
        <v>257</v>
      </c>
      <c r="B208" t="s">
        <v>18</v>
      </c>
      <c r="C208" t="str">
        <f>IF(A208=Blatt1!$B$2,B208,"")</f>
        <v/>
      </c>
      <c r="D208" t="s">
        <v>283</v>
      </c>
    </row>
    <row r="209" spans="1:4" x14ac:dyDescent="0.35">
      <c r="A209" t="s">
        <v>257</v>
      </c>
      <c r="B209" t="s">
        <v>175</v>
      </c>
      <c r="C209" t="str">
        <f>IF(A209=Blatt1!$B$2,B209,"")</f>
        <v/>
      </c>
      <c r="D209" t="s">
        <v>282</v>
      </c>
    </row>
    <row r="210" spans="1:4" x14ac:dyDescent="0.35">
      <c r="A210" t="s">
        <v>257</v>
      </c>
      <c r="B210" t="s">
        <v>170</v>
      </c>
      <c r="C210" t="str">
        <f>IF(A210=Blatt1!$B$2,B210,"")</f>
        <v/>
      </c>
      <c r="D210" t="s">
        <v>282</v>
      </c>
    </row>
    <row r="211" spans="1:4" x14ac:dyDescent="0.35">
      <c r="A211" t="s">
        <v>257</v>
      </c>
      <c r="B211" t="s">
        <v>19</v>
      </c>
      <c r="C211" t="str">
        <f>IF(A211=Blatt1!$B$2,B211,"")</f>
        <v/>
      </c>
      <c r="D211" t="s">
        <v>283</v>
      </c>
    </row>
    <row r="212" spans="1:4" x14ac:dyDescent="0.35">
      <c r="A212" t="s">
        <v>257</v>
      </c>
      <c r="B212" t="s">
        <v>23</v>
      </c>
      <c r="C212" t="str">
        <f>IF(A212=Blatt1!$B$2,B212,"")</f>
        <v/>
      </c>
      <c r="D212" t="s">
        <v>282</v>
      </c>
    </row>
    <row r="213" spans="1:4" x14ac:dyDescent="0.35">
      <c r="A213" t="s">
        <v>257</v>
      </c>
      <c r="B213" t="s">
        <v>176</v>
      </c>
      <c r="C213" t="str">
        <f>IF(A213=Blatt1!$B$2,B213,"")</f>
        <v/>
      </c>
      <c r="D213" t="s">
        <v>283</v>
      </c>
    </row>
    <row r="214" spans="1:4" x14ac:dyDescent="0.35">
      <c r="A214" t="s">
        <v>257</v>
      </c>
      <c r="B214" t="s">
        <v>177</v>
      </c>
      <c r="C214" t="str">
        <f>IF(A214=Blatt1!$B$2,B214,"")</f>
        <v/>
      </c>
      <c r="D214" t="s">
        <v>282</v>
      </c>
    </row>
    <row r="215" spans="1:4" x14ac:dyDescent="0.35">
      <c r="A215" t="s">
        <v>258</v>
      </c>
      <c r="B215" t="s">
        <v>18</v>
      </c>
      <c r="C215" t="str">
        <f>IF(A215=Blatt1!$B$2,B215,"")</f>
        <v/>
      </c>
      <c r="D215" t="s">
        <v>283</v>
      </c>
    </row>
    <row r="216" spans="1:4" x14ac:dyDescent="0.35">
      <c r="A216" t="s">
        <v>258</v>
      </c>
      <c r="B216" t="s">
        <v>175</v>
      </c>
      <c r="C216" t="str">
        <f>IF(A216=Blatt1!$B$2,B216,"")</f>
        <v/>
      </c>
      <c r="D216" t="s">
        <v>282</v>
      </c>
    </row>
    <row r="217" spans="1:4" x14ac:dyDescent="0.35">
      <c r="A217" t="s">
        <v>258</v>
      </c>
      <c r="B217" t="s">
        <v>170</v>
      </c>
      <c r="C217" t="str">
        <f>IF(A217=Blatt1!$B$2,B217,"")</f>
        <v/>
      </c>
      <c r="D217" t="s">
        <v>282</v>
      </c>
    </row>
    <row r="218" spans="1:4" x14ac:dyDescent="0.35">
      <c r="A218" t="s">
        <v>258</v>
      </c>
      <c r="B218" t="s">
        <v>19</v>
      </c>
      <c r="C218" t="str">
        <f>IF(A218=Blatt1!$B$2,B218,"")</f>
        <v/>
      </c>
      <c r="D218" t="s">
        <v>283</v>
      </c>
    </row>
    <row r="219" spans="1:4" x14ac:dyDescent="0.35">
      <c r="A219" t="s">
        <v>258</v>
      </c>
      <c r="B219" t="s">
        <v>23</v>
      </c>
      <c r="C219" t="str">
        <f>IF(A219=Blatt1!$B$2,B219,"")</f>
        <v/>
      </c>
      <c r="D219" t="s">
        <v>282</v>
      </c>
    </row>
    <row r="220" spans="1:4" x14ac:dyDescent="0.35">
      <c r="A220" t="s">
        <v>258</v>
      </c>
      <c r="B220" t="s">
        <v>176</v>
      </c>
      <c r="C220" t="str">
        <f>IF(A220=Blatt1!$B$2,B220,"")</f>
        <v/>
      </c>
      <c r="D220" t="s">
        <v>283</v>
      </c>
    </row>
    <row r="221" spans="1:4" x14ac:dyDescent="0.35">
      <c r="A221" t="s">
        <v>258</v>
      </c>
      <c r="B221" t="s">
        <v>177</v>
      </c>
      <c r="C221" t="str">
        <f>IF(A221=Blatt1!$B$2,B221,"")</f>
        <v/>
      </c>
      <c r="D221" t="s">
        <v>282</v>
      </c>
    </row>
    <row r="222" spans="1:4" x14ac:dyDescent="0.35">
      <c r="A222" t="s">
        <v>259</v>
      </c>
      <c r="B222" t="s">
        <v>18</v>
      </c>
      <c r="C222" t="str">
        <f>IF(A222=Blatt1!$B$2,B222,"")</f>
        <v/>
      </c>
      <c r="D222" t="s">
        <v>283</v>
      </c>
    </row>
    <row r="223" spans="1:4" x14ac:dyDescent="0.35">
      <c r="A223" t="s">
        <v>259</v>
      </c>
      <c r="B223" t="s">
        <v>23</v>
      </c>
      <c r="C223" t="str">
        <f>IF(A223=Blatt1!$B$2,B223,"")</f>
        <v/>
      </c>
      <c r="D223" t="s">
        <v>283</v>
      </c>
    </row>
    <row r="224" spans="1:4" x14ac:dyDescent="0.35">
      <c r="A224" t="s">
        <v>259</v>
      </c>
      <c r="B224" t="s">
        <v>176</v>
      </c>
      <c r="C224" t="str">
        <f>IF(A224=Blatt1!$B$2,B224,"")</f>
        <v/>
      </c>
      <c r="D224" t="s">
        <v>282</v>
      </c>
    </row>
    <row r="225" spans="1:4" x14ac:dyDescent="0.35">
      <c r="A225" t="s">
        <v>259</v>
      </c>
      <c r="B225" t="s">
        <v>177</v>
      </c>
      <c r="C225" t="str">
        <f>IF(A225=Blatt1!$B$2,B225,"")</f>
        <v/>
      </c>
      <c r="D225" t="s">
        <v>283</v>
      </c>
    </row>
    <row r="226" spans="1:4" x14ac:dyDescent="0.35">
      <c r="A226" t="s">
        <v>260</v>
      </c>
      <c r="B226" t="s">
        <v>18</v>
      </c>
      <c r="C226" t="str">
        <f>IF(A226=Blatt1!$B$2,B226,"")</f>
        <v/>
      </c>
      <c r="D226" t="s">
        <v>283</v>
      </c>
    </row>
    <row r="227" spans="1:4" x14ac:dyDescent="0.35">
      <c r="A227" t="s">
        <v>260</v>
      </c>
      <c r="B227" t="s">
        <v>23</v>
      </c>
      <c r="C227" t="str">
        <f>IF(A227=Blatt1!$B$2,B227,"")</f>
        <v/>
      </c>
      <c r="D227" t="s">
        <v>283</v>
      </c>
    </row>
    <row r="228" spans="1:4" x14ac:dyDescent="0.35">
      <c r="A228" t="s">
        <v>260</v>
      </c>
      <c r="B228" t="s">
        <v>176</v>
      </c>
      <c r="C228" t="str">
        <f>IF(A228=Blatt1!$B$2,B228,"")</f>
        <v/>
      </c>
      <c r="D228" t="s">
        <v>282</v>
      </c>
    </row>
    <row r="229" spans="1:4" x14ac:dyDescent="0.35">
      <c r="A229" t="s">
        <v>260</v>
      </c>
      <c r="B229" t="s">
        <v>177</v>
      </c>
      <c r="C229" t="str">
        <f>IF(A229=Blatt1!$B$2,B229,"")</f>
        <v/>
      </c>
      <c r="D229" t="s">
        <v>283</v>
      </c>
    </row>
    <row r="230" spans="1:4" x14ac:dyDescent="0.35">
      <c r="A230" t="s">
        <v>261</v>
      </c>
      <c r="B230" t="s">
        <v>177</v>
      </c>
      <c r="C230" t="str">
        <f>IF(A230=Blatt1!$B$2,B230,"")</f>
        <v/>
      </c>
      <c r="D230" t="s">
        <v>283</v>
      </c>
    </row>
    <row r="231" spans="1:4" x14ac:dyDescent="0.35">
      <c r="A231" t="s">
        <v>262</v>
      </c>
      <c r="B231" t="s">
        <v>18</v>
      </c>
      <c r="C231" t="str">
        <f>IF(A231=Blatt1!$B$2,B231,"")</f>
        <v/>
      </c>
      <c r="D231" t="s">
        <v>282</v>
      </c>
    </row>
    <row r="232" spans="1:4" x14ac:dyDescent="0.35">
      <c r="A232" t="s">
        <v>262</v>
      </c>
      <c r="B232" t="s">
        <v>175</v>
      </c>
      <c r="C232" t="str">
        <f>IF(A232=Blatt1!$B$2,B232,"")</f>
        <v/>
      </c>
      <c r="D232" t="s">
        <v>283</v>
      </c>
    </row>
    <row r="233" spans="1:4" x14ac:dyDescent="0.35">
      <c r="A233" t="s">
        <v>262</v>
      </c>
      <c r="B233" t="s">
        <v>170</v>
      </c>
      <c r="C233" t="str">
        <f>IF(A233=Blatt1!$B$2,B233,"")</f>
        <v/>
      </c>
      <c r="D233" t="s">
        <v>283</v>
      </c>
    </row>
    <row r="234" spans="1:4" x14ac:dyDescent="0.35">
      <c r="A234" t="s">
        <v>262</v>
      </c>
      <c r="B234" t="s">
        <v>19</v>
      </c>
      <c r="C234" t="str">
        <f>IF(A234=Blatt1!$B$2,B234,"")</f>
        <v/>
      </c>
      <c r="D234" t="s">
        <v>283</v>
      </c>
    </row>
    <row r="235" spans="1:4" x14ac:dyDescent="0.35">
      <c r="A235" t="s">
        <v>262</v>
      </c>
      <c r="B235" t="s">
        <v>23</v>
      </c>
      <c r="C235" t="str">
        <f>IF(A235=Blatt1!$B$2,B235,"")</f>
        <v/>
      </c>
      <c r="D235" t="s">
        <v>282</v>
      </c>
    </row>
    <row r="236" spans="1:4" x14ac:dyDescent="0.35">
      <c r="A236" t="s">
        <v>262</v>
      </c>
      <c r="B236" t="s">
        <v>176</v>
      </c>
      <c r="C236" t="str">
        <f>IF(A236=Blatt1!$B$2,B236,"")</f>
        <v/>
      </c>
      <c r="D236" t="s">
        <v>282</v>
      </c>
    </row>
    <row r="237" spans="1:4" x14ac:dyDescent="0.35">
      <c r="A237" t="s">
        <v>262</v>
      </c>
      <c r="B237" t="s">
        <v>177</v>
      </c>
      <c r="C237" t="str">
        <f>IF(A237=Blatt1!$B$2,B237,"")</f>
        <v/>
      </c>
      <c r="D237" t="s">
        <v>282</v>
      </c>
    </row>
    <row r="238" spans="1:4" x14ac:dyDescent="0.35">
      <c r="A238" t="s">
        <v>263</v>
      </c>
      <c r="B238" t="s">
        <v>18</v>
      </c>
      <c r="C238" t="str">
        <f>IF(A238=Blatt1!$B$2,B238,"")</f>
        <v/>
      </c>
      <c r="D238" t="s">
        <v>282</v>
      </c>
    </row>
    <row r="239" spans="1:4" x14ac:dyDescent="0.35">
      <c r="A239" t="s">
        <v>263</v>
      </c>
      <c r="B239" t="s">
        <v>175</v>
      </c>
      <c r="C239" t="str">
        <f>IF(A239=Blatt1!$B$2,B239,"")</f>
        <v/>
      </c>
      <c r="D239" t="s">
        <v>283</v>
      </c>
    </row>
    <row r="240" spans="1:4" x14ac:dyDescent="0.35">
      <c r="A240" t="s">
        <v>263</v>
      </c>
      <c r="B240" t="s">
        <v>170</v>
      </c>
      <c r="C240" t="str">
        <f>IF(A240=Blatt1!$B$2,B240,"")</f>
        <v/>
      </c>
      <c r="D240" t="s">
        <v>283</v>
      </c>
    </row>
    <row r="241" spans="1:4" x14ac:dyDescent="0.35">
      <c r="A241" t="s">
        <v>263</v>
      </c>
      <c r="B241" t="s">
        <v>19</v>
      </c>
      <c r="C241" t="str">
        <f>IF(A241=Blatt1!$B$2,B241,"")</f>
        <v/>
      </c>
      <c r="D241" t="s">
        <v>283</v>
      </c>
    </row>
    <row r="242" spans="1:4" x14ac:dyDescent="0.35">
      <c r="A242" t="s">
        <v>263</v>
      </c>
      <c r="B242" t="s">
        <v>23</v>
      </c>
      <c r="C242" t="str">
        <f>IF(A242=Blatt1!$B$2,B242,"")</f>
        <v/>
      </c>
      <c r="D242" t="s">
        <v>282</v>
      </c>
    </row>
    <row r="243" spans="1:4" x14ac:dyDescent="0.35">
      <c r="A243" t="s">
        <v>263</v>
      </c>
      <c r="B243" t="s">
        <v>176</v>
      </c>
      <c r="C243" t="str">
        <f>IF(A243=Blatt1!$B$2,B243,"")</f>
        <v/>
      </c>
      <c r="D243" t="s">
        <v>282</v>
      </c>
    </row>
    <row r="244" spans="1:4" x14ac:dyDescent="0.35">
      <c r="A244" t="s">
        <v>263</v>
      </c>
      <c r="B244" t="s">
        <v>177</v>
      </c>
      <c r="C244" t="str">
        <f>IF(A244=Blatt1!$B$2,B244,"")</f>
        <v/>
      </c>
      <c r="D244" t="s">
        <v>282</v>
      </c>
    </row>
    <row r="245" spans="1:4" x14ac:dyDescent="0.35">
      <c r="A245" t="s">
        <v>264</v>
      </c>
      <c r="B245" t="s">
        <v>18</v>
      </c>
      <c r="C245" t="str">
        <f>IF(A245=Blatt1!$B$2,B245,"")</f>
        <v/>
      </c>
      <c r="D245" t="s">
        <v>283</v>
      </c>
    </row>
    <row r="246" spans="1:4" x14ac:dyDescent="0.35">
      <c r="A246" t="s">
        <v>264</v>
      </c>
      <c r="B246" t="s">
        <v>23</v>
      </c>
      <c r="C246" t="str">
        <f>IF(A246=Blatt1!$B$2,B246,"")</f>
        <v/>
      </c>
      <c r="D246" t="s">
        <v>282</v>
      </c>
    </row>
    <row r="247" spans="1:4" x14ac:dyDescent="0.35">
      <c r="A247" t="s">
        <v>264</v>
      </c>
      <c r="B247" t="s">
        <v>177</v>
      </c>
      <c r="C247" t="str">
        <f>IF(A247=Blatt1!$B$2,B247,"")</f>
        <v/>
      </c>
      <c r="D247" t="s">
        <v>283</v>
      </c>
    </row>
    <row r="248" spans="1:4" x14ac:dyDescent="0.35">
      <c r="A248" t="s">
        <v>264</v>
      </c>
      <c r="B248" t="s">
        <v>182</v>
      </c>
      <c r="C248" t="str">
        <f>IF(A248=Blatt1!$B$2,B248,"")</f>
        <v/>
      </c>
      <c r="D248" t="s">
        <v>283</v>
      </c>
    </row>
    <row r="249" spans="1:4" x14ac:dyDescent="0.35">
      <c r="A249" t="s">
        <v>264</v>
      </c>
      <c r="B249" t="s">
        <v>183</v>
      </c>
      <c r="C249" t="str">
        <f>IF(A249=Blatt1!$B$2,B249,"")</f>
        <v/>
      </c>
      <c r="D249" t="s">
        <v>283</v>
      </c>
    </row>
    <row r="250" spans="1:4" x14ac:dyDescent="0.35">
      <c r="A250" t="s">
        <v>255</v>
      </c>
      <c r="B250" t="s">
        <v>18</v>
      </c>
      <c r="C250" t="str">
        <f>IF(A250=Blatt1!$B$2,B250,"")</f>
        <v/>
      </c>
      <c r="D250" t="s">
        <v>282</v>
      </c>
    </row>
    <row r="251" spans="1:4" x14ac:dyDescent="0.35">
      <c r="A251" t="s">
        <v>255</v>
      </c>
      <c r="B251" t="s">
        <v>23</v>
      </c>
      <c r="C251" t="str">
        <f>IF(A251=Blatt1!$B$2,B251,"")</f>
        <v/>
      </c>
      <c r="D251" t="s">
        <v>283</v>
      </c>
    </row>
    <row r="252" spans="1:4" x14ac:dyDescent="0.35">
      <c r="A252" t="s">
        <v>255</v>
      </c>
      <c r="B252" t="s">
        <v>20</v>
      </c>
      <c r="C252" t="str">
        <f>IF(A252=Blatt1!$B$2,B252,"")</f>
        <v/>
      </c>
      <c r="D252" t="s">
        <v>282</v>
      </c>
    </row>
    <row r="253" spans="1:4" x14ac:dyDescent="0.35">
      <c r="A253" t="s">
        <v>255</v>
      </c>
      <c r="B253" t="s">
        <v>178</v>
      </c>
      <c r="C253" t="str">
        <f>IF(A253=Blatt1!$B$2,B253,"")</f>
        <v/>
      </c>
      <c r="D253" t="s">
        <v>284</v>
      </c>
    </row>
    <row r="254" spans="1:4" x14ac:dyDescent="0.35">
      <c r="A254" t="s">
        <v>255</v>
      </c>
      <c r="B254" t="s">
        <v>176</v>
      </c>
      <c r="C254" t="str">
        <f>IF(A254=Blatt1!$B$2,B254,"")</f>
        <v/>
      </c>
      <c r="D254" t="s">
        <v>282</v>
      </c>
    </row>
    <row r="255" spans="1:4" x14ac:dyDescent="0.35">
      <c r="A255" t="s">
        <v>255</v>
      </c>
      <c r="B255" t="s">
        <v>177</v>
      </c>
      <c r="C255" t="str">
        <f>IF(A255=Blatt1!$B$2,B255,"")</f>
        <v/>
      </c>
      <c r="D255" t="s">
        <v>282</v>
      </c>
    </row>
    <row r="256" spans="1:4" x14ac:dyDescent="0.35">
      <c r="A256" t="s">
        <v>255</v>
      </c>
      <c r="B256" t="s">
        <v>174</v>
      </c>
      <c r="C256" t="str">
        <f>IF(A256=Blatt1!$B$2,B256,"")</f>
        <v/>
      </c>
      <c r="D256" t="s">
        <v>282</v>
      </c>
    </row>
    <row r="257" spans="1:4" x14ac:dyDescent="0.35">
      <c r="A257" t="s">
        <v>255</v>
      </c>
      <c r="B257" t="s">
        <v>285</v>
      </c>
      <c r="C257" t="str">
        <f>IF(A257=Blatt1!$B$2,B257,"")</f>
        <v/>
      </c>
      <c r="D257" t="s">
        <v>283</v>
      </c>
    </row>
    <row r="258" spans="1:4" x14ac:dyDescent="0.35">
      <c r="A258" t="s">
        <v>256</v>
      </c>
      <c r="B258" t="s">
        <v>19</v>
      </c>
      <c r="C258" t="str">
        <f>IF(A258=Blatt1!$B$2,B258,"")</f>
        <v/>
      </c>
      <c r="D258" t="s">
        <v>282</v>
      </c>
    </row>
    <row r="259" spans="1:4" x14ac:dyDescent="0.35">
      <c r="A259" t="s">
        <v>256</v>
      </c>
      <c r="B259" t="s">
        <v>178</v>
      </c>
      <c r="C259" t="str">
        <f>IF(A259=Blatt1!$B$2,B259,"")</f>
        <v/>
      </c>
      <c r="D259" t="s">
        <v>283</v>
      </c>
    </row>
    <row r="260" spans="1:4" x14ac:dyDescent="0.35">
      <c r="A260" t="s">
        <v>256</v>
      </c>
      <c r="B260" t="s">
        <v>177</v>
      </c>
      <c r="C260" t="str">
        <f>IF(A260=Blatt1!$B$2,B260,"")</f>
        <v/>
      </c>
      <c r="D260" t="s">
        <v>284</v>
      </c>
    </row>
    <row r="261" spans="1:4" x14ac:dyDescent="0.35">
      <c r="A261" t="s">
        <v>256</v>
      </c>
      <c r="B261" t="s">
        <v>174</v>
      </c>
      <c r="C261" t="str">
        <f>IF(A261=Blatt1!$B$2,B261,"")</f>
        <v/>
      </c>
      <c r="D261" t="s">
        <v>283</v>
      </c>
    </row>
    <row r="262" spans="1:4" x14ac:dyDescent="0.35">
      <c r="A262" t="s">
        <v>265</v>
      </c>
      <c r="B262" t="s">
        <v>18</v>
      </c>
      <c r="C262" t="str">
        <f>IF(A262=Blatt1!$B$2,B262,"")</f>
        <v/>
      </c>
      <c r="D262" t="s">
        <v>283</v>
      </c>
    </row>
    <row r="263" spans="1:4" x14ac:dyDescent="0.35">
      <c r="A263" t="s">
        <v>265</v>
      </c>
      <c r="B263" t="s">
        <v>175</v>
      </c>
      <c r="C263" t="str">
        <f>IF(A263=Blatt1!$B$2,B263,"")</f>
        <v/>
      </c>
      <c r="D263" t="s">
        <v>282</v>
      </c>
    </row>
    <row r="264" spans="1:4" x14ac:dyDescent="0.35">
      <c r="A264" t="s">
        <v>265</v>
      </c>
      <c r="B264" t="s">
        <v>170</v>
      </c>
      <c r="C264" t="str">
        <f>IF(A264=Blatt1!$B$2,B264,"")</f>
        <v/>
      </c>
      <c r="D264" t="s">
        <v>282</v>
      </c>
    </row>
    <row r="265" spans="1:4" x14ac:dyDescent="0.35">
      <c r="A265" t="s">
        <v>265</v>
      </c>
      <c r="B265" t="s">
        <v>19</v>
      </c>
      <c r="C265" t="str">
        <f>IF(A265=Blatt1!$B$2,B265,"")</f>
        <v/>
      </c>
      <c r="D265" t="s">
        <v>282</v>
      </c>
    </row>
    <row r="266" spans="1:4" x14ac:dyDescent="0.35">
      <c r="A266" t="s">
        <v>265</v>
      </c>
      <c r="B266" t="s">
        <v>23</v>
      </c>
      <c r="C266" t="str">
        <f>IF(A266=Blatt1!$B$2,B266,"")</f>
        <v/>
      </c>
      <c r="D266" t="s">
        <v>283</v>
      </c>
    </row>
    <row r="267" spans="1:4" x14ac:dyDescent="0.35">
      <c r="A267" t="s">
        <v>265</v>
      </c>
      <c r="B267" t="s">
        <v>20</v>
      </c>
      <c r="C267" t="str">
        <f>IF(A267=Blatt1!$B$2,B267,"")</f>
        <v/>
      </c>
      <c r="D267" t="s">
        <v>282</v>
      </c>
    </row>
    <row r="268" spans="1:4" x14ac:dyDescent="0.35">
      <c r="A268" t="s">
        <v>265</v>
      </c>
      <c r="B268" t="s">
        <v>176</v>
      </c>
      <c r="C268" t="str">
        <f>IF(A268=Blatt1!$B$2,B268,"")</f>
        <v/>
      </c>
      <c r="D268" t="s">
        <v>282</v>
      </c>
    </row>
    <row r="269" spans="1:4" x14ac:dyDescent="0.35">
      <c r="A269" t="s">
        <v>265</v>
      </c>
      <c r="B269" t="s">
        <v>177</v>
      </c>
      <c r="C269" t="str">
        <f>IF(A269=Blatt1!$B$2,B269,"")</f>
        <v/>
      </c>
      <c r="D269" t="s">
        <v>283</v>
      </c>
    </row>
    <row r="270" spans="1:4" x14ac:dyDescent="0.35">
      <c r="A270" t="s">
        <v>265</v>
      </c>
      <c r="B270" t="s">
        <v>174</v>
      </c>
      <c r="C270" t="str">
        <f>IF(A270=Blatt1!$B$2,B270,"")</f>
        <v/>
      </c>
      <c r="D270" t="s">
        <v>283</v>
      </c>
    </row>
    <row r="271" spans="1:4" x14ac:dyDescent="0.35">
      <c r="A271" t="s">
        <v>265</v>
      </c>
      <c r="B271" t="s">
        <v>285</v>
      </c>
      <c r="C271" t="str">
        <f>IF(A271=Blatt1!$B$2,B271,"")</f>
        <v/>
      </c>
      <c r="D271" t="s">
        <v>282</v>
      </c>
    </row>
    <row r="272" spans="1:4" x14ac:dyDescent="0.35">
      <c r="A272" t="s">
        <v>266</v>
      </c>
      <c r="B272" t="s">
        <v>18</v>
      </c>
      <c r="C272" t="str">
        <f>IF(A272=Blatt1!$B$2,B272,"")</f>
        <v/>
      </c>
      <c r="D272" t="s">
        <v>283</v>
      </c>
    </row>
    <row r="273" spans="1:4" x14ac:dyDescent="0.35">
      <c r="A273" t="s">
        <v>266</v>
      </c>
      <c r="B273" t="s">
        <v>175</v>
      </c>
      <c r="C273" t="str">
        <f>IF(A273=Blatt1!$B$2,B273,"")</f>
        <v/>
      </c>
      <c r="D273" t="s">
        <v>282</v>
      </c>
    </row>
    <row r="274" spans="1:4" x14ac:dyDescent="0.35">
      <c r="A274" t="s">
        <v>266</v>
      </c>
      <c r="B274" t="s">
        <v>170</v>
      </c>
      <c r="C274" t="str">
        <f>IF(A274=Blatt1!$B$2,B274,"")</f>
        <v/>
      </c>
      <c r="D274" t="s">
        <v>282</v>
      </c>
    </row>
    <row r="275" spans="1:4" x14ac:dyDescent="0.35">
      <c r="A275" t="s">
        <v>266</v>
      </c>
      <c r="B275" t="s">
        <v>19</v>
      </c>
      <c r="C275" t="str">
        <f>IF(A275=Blatt1!$B$2,B275,"")</f>
        <v/>
      </c>
      <c r="D275" t="s">
        <v>282</v>
      </c>
    </row>
    <row r="276" spans="1:4" x14ac:dyDescent="0.35">
      <c r="A276" t="s">
        <v>266</v>
      </c>
      <c r="B276" t="s">
        <v>23</v>
      </c>
      <c r="C276" t="str">
        <f>IF(A276=Blatt1!$B$2,B276,"")</f>
        <v/>
      </c>
      <c r="D276" t="s">
        <v>283</v>
      </c>
    </row>
    <row r="277" spans="1:4" x14ac:dyDescent="0.35">
      <c r="A277" t="s">
        <v>266</v>
      </c>
      <c r="B277" t="s">
        <v>20</v>
      </c>
      <c r="C277" t="str">
        <f>IF(A277=Blatt1!$B$2,B277,"")</f>
        <v/>
      </c>
      <c r="D277" t="s">
        <v>282</v>
      </c>
    </row>
    <row r="278" spans="1:4" x14ac:dyDescent="0.35">
      <c r="A278" t="s">
        <v>266</v>
      </c>
      <c r="B278" t="s">
        <v>178</v>
      </c>
      <c r="C278" t="str">
        <f>IF(A278=Blatt1!$B$2,B278,"")</f>
        <v/>
      </c>
      <c r="D278" t="s">
        <v>282</v>
      </c>
    </row>
    <row r="279" spans="1:4" x14ac:dyDescent="0.35">
      <c r="A279" t="s">
        <v>266</v>
      </c>
      <c r="B279" t="s">
        <v>176</v>
      </c>
      <c r="C279" t="str">
        <f>IF(A279=Blatt1!$B$2,B279,"")</f>
        <v/>
      </c>
      <c r="D279" t="s">
        <v>282</v>
      </c>
    </row>
    <row r="280" spans="1:4" x14ac:dyDescent="0.35">
      <c r="A280" t="s">
        <v>266</v>
      </c>
      <c r="B280" t="s">
        <v>177</v>
      </c>
      <c r="C280" t="str">
        <f>IF(A280=Blatt1!$B$2,B280,"")</f>
        <v/>
      </c>
      <c r="D280" t="s">
        <v>283</v>
      </c>
    </row>
    <row r="281" spans="1:4" x14ac:dyDescent="0.35">
      <c r="A281" t="s">
        <v>266</v>
      </c>
      <c r="B281" t="s">
        <v>174</v>
      </c>
      <c r="C281" t="str">
        <f>IF(A281=Blatt1!$B$2,B281,"")</f>
        <v/>
      </c>
      <c r="D281" t="s">
        <v>284</v>
      </c>
    </row>
    <row r="282" spans="1:4" x14ac:dyDescent="0.35">
      <c r="A282" t="s">
        <v>266</v>
      </c>
      <c r="B282" t="s">
        <v>285</v>
      </c>
      <c r="C282" t="str">
        <f>IF(A282=Blatt1!$B$2,B282,"")</f>
        <v/>
      </c>
      <c r="D282" t="s">
        <v>282</v>
      </c>
    </row>
    <row r="283" spans="1:4" x14ac:dyDescent="0.35">
      <c r="A283" t="s">
        <v>267</v>
      </c>
      <c r="B283" t="s">
        <v>18</v>
      </c>
      <c r="C283" t="str">
        <f>IF(A283=Blatt1!$B$2,B283,"")</f>
        <v/>
      </c>
      <c r="D283" t="s">
        <v>282</v>
      </c>
    </row>
    <row r="284" spans="1:4" x14ac:dyDescent="0.35">
      <c r="A284" t="s">
        <v>267</v>
      </c>
      <c r="B284" t="s">
        <v>175</v>
      </c>
      <c r="C284" t="str">
        <f>IF(A284=Blatt1!$B$2,B284,"")</f>
        <v/>
      </c>
      <c r="D284" t="s">
        <v>283</v>
      </c>
    </row>
    <row r="285" spans="1:4" x14ac:dyDescent="0.35">
      <c r="A285" t="s">
        <v>267</v>
      </c>
      <c r="B285" t="s">
        <v>170</v>
      </c>
      <c r="C285" t="str">
        <f>IF(A285=Blatt1!$B$2,B285,"")</f>
        <v/>
      </c>
      <c r="D285" t="s">
        <v>283</v>
      </c>
    </row>
    <row r="286" spans="1:4" x14ac:dyDescent="0.35">
      <c r="A286" t="s">
        <v>267</v>
      </c>
      <c r="B286" t="s">
        <v>19</v>
      </c>
      <c r="C286" t="str">
        <f>IF(A286=Blatt1!$B$2,B286,"")</f>
        <v/>
      </c>
      <c r="D286" t="s">
        <v>283</v>
      </c>
    </row>
    <row r="287" spans="1:4" x14ac:dyDescent="0.35">
      <c r="A287" t="s">
        <v>267</v>
      </c>
      <c r="B287" t="s">
        <v>23</v>
      </c>
      <c r="C287" t="str">
        <f>IF(A287=Blatt1!$B$2,B287,"")</f>
        <v/>
      </c>
      <c r="D287" t="s">
        <v>282</v>
      </c>
    </row>
    <row r="288" spans="1:4" x14ac:dyDescent="0.35">
      <c r="A288" t="s">
        <v>267</v>
      </c>
      <c r="B288" t="s">
        <v>20</v>
      </c>
      <c r="C288" t="str">
        <f>IF(A288=Blatt1!$B$2,B288,"")</f>
        <v/>
      </c>
      <c r="D288" t="s">
        <v>284</v>
      </c>
    </row>
    <row r="289" spans="1:4" x14ac:dyDescent="0.35">
      <c r="A289" t="s">
        <v>267</v>
      </c>
      <c r="B289" t="s">
        <v>176</v>
      </c>
      <c r="C289" t="str">
        <f>IF(A289=Blatt1!$B$2,B289,"")</f>
        <v/>
      </c>
      <c r="D289" t="s">
        <v>282</v>
      </c>
    </row>
    <row r="290" spans="1:4" x14ac:dyDescent="0.35">
      <c r="A290" t="s">
        <v>267</v>
      </c>
      <c r="B290" t="s">
        <v>177</v>
      </c>
      <c r="C290" t="str">
        <f>IF(A290=Blatt1!$B$2,B290,"")</f>
        <v/>
      </c>
      <c r="D290" t="s">
        <v>283</v>
      </c>
    </row>
    <row r="291" spans="1:4" x14ac:dyDescent="0.35">
      <c r="A291" t="s">
        <v>267</v>
      </c>
      <c r="B291" t="s">
        <v>174</v>
      </c>
      <c r="C291" t="str">
        <f>IF(A291=Blatt1!$B$2,B291,"")</f>
        <v/>
      </c>
      <c r="D291" t="s">
        <v>282</v>
      </c>
    </row>
    <row r="292" spans="1:4" x14ac:dyDescent="0.35">
      <c r="A292" t="s">
        <v>267</v>
      </c>
      <c r="B292" t="s">
        <v>285</v>
      </c>
      <c r="C292" t="str">
        <f>IF(A292=Blatt1!$B$2,B292,"")</f>
        <v/>
      </c>
      <c r="D292" t="s">
        <v>284</v>
      </c>
    </row>
    <row r="293" spans="1:4" x14ac:dyDescent="0.35">
      <c r="A293" t="s">
        <v>268</v>
      </c>
      <c r="B293" t="s">
        <v>18</v>
      </c>
      <c r="C293" t="str">
        <f>IF(A293=Blatt1!$B$2,B293,"")</f>
        <v/>
      </c>
      <c r="D293" t="s">
        <v>282</v>
      </c>
    </row>
    <row r="294" spans="1:4" x14ac:dyDescent="0.35">
      <c r="A294" t="s">
        <v>268</v>
      </c>
      <c r="B294" t="s">
        <v>175</v>
      </c>
      <c r="C294" t="str">
        <f>IF(A294=Blatt1!$B$2,B294,"")</f>
        <v/>
      </c>
      <c r="D294" t="s">
        <v>283</v>
      </c>
    </row>
    <row r="295" spans="1:4" x14ac:dyDescent="0.35">
      <c r="A295" t="s">
        <v>268</v>
      </c>
      <c r="B295" t="s">
        <v>170</v>
      </c>
      <c r="C295" t="str">
        <f>IF(A295=Blatt1!$B$2,B295,"")</f>
        <v/>
      </c>
      <c r="D295" t="s">
        <v>283</v>
      </c>
    </row>
    <row r="296" spans="1:4" x14ac:dyDescent="0.35">
      <c r="A296" t="s">
        <v>268</v>
      </c>
      <c r="B296" t="s">
        <v>19</v>
      </c>
      <c r="C296" t="str">
        <f>IF(A296=Blatt1!$B$2,B296,"")</f>
        <v/>
      </c>
      <c r="D296" t="s">
        <v>283</v>
      </c>
    </row>
    <row r="297" spans="1:4" x14ac:dyDescent="0.35">
      <c r="A297" t="s">
        <v>268</v>
      </c>
      <c r="B297" t="s">
        <v>23</v>
      </c>
      <c r="C297" t="str">
        <f>IF(A297=Blatt1!$B$2,B297,"")</f>
        <v/>
      </c>
      <c r="D297" t="s">
        <v>282</v>
      </c>
    </row>
    <row r="298" spans="1:4" x14ac:dyDescent="0.35">
      <c r="A298" t="s">
        <v>268</v>
      </c>
      <c r="B298" t="s">
        <v>20</v>
      </c>
      <c r="C298" t="str">
        <f>IF(A298=Blatt1!$B$2,B298,"")</f>
        <v/>
      </c>
      <c r="D298" t="s">
        <v>284</v>
      </c>
    </row>
    <row r="299" spans="1:4" x14ac:dyDescent="0.35">
      <c r="A299" t="s">
        <v>268</v>
      </c>
      <c r="B299" t="s">
        <v>178</v>
      </c>
      <c r="C299" t="str">
        <f>IF(A299=Blatt1!$B$2,B299,"")</f>
        <v/>
      </c>
      <c r="D299" t="s">
        <v>282</v>
      </c>
    </row>
    <row r="300" spans="1:4" x14ac:dyDescent="0.35">
      <c r="A300" t="s">
        <v>268</v>
      </c>
      <c r="B300" t="s">
        <v>176</v>
      </c>
      <c r="C300" t="str">
        <f>IF(A300=Blatt1!$B$2,B300,"")</f>
        <v/>
      </c>
      <c r="D300" t="s">
        <v>282</v>
      </c>
    </row>
    <row r="301" spans="1:4" x14ac:dyDescent="0.35">
      <c r="A301" t="s">
        <v>268</v>
      </c>
      <c r="B301" t="s">
        <v>177</v>
      </c>
      <c r="C301" t="str">
        <f>IF(A301=Blatt1!$B$2,B301,"")</f>
        <v/>
      </c>
      <c r="D301" t="s">
        <v>283</v>
      </c>
    </row>
    <row r="302" spans="1:4" x14ac:dyDescent="0.35">
      <c r="A302" t="s">
        <v>268</v>
      </c>
      <c r="B302" t="s">
        <v>174</v>
      </c>
      <c r="C302" t="str">
        <f>IF(A302=Blatt1!$B$2,B302,"")</f>
        <v/>
      </c>
      <c r="D302" t="s">
        <v>282</v>
      </c>
    </row>
    <row r="303" spans="1:4" x14ac:dyDescent="0.35">
      <c r="A303" t="s">
        <v>268</v>
      </c>
      <c r="B303" t="s">
        <v>285</v>
      </c>
      <c r="C303" t="str">
        <f>IF(A303=Blatt1!$B$2,B303,"")</f>
        <v/>
      </c>
      <c r="D303" t="s">
        <v>284</v>
      </c>
    </row>
    <row r="304" spans="1:4" x14ac:dyDescent="0.35">
      <c r="A304" t="s">
        <v>269</v>
      </c>
      <c r="B304" t="s">
        <v>18</v>
      </c>
      <c r="C304" t="str">
        <f>IF(A304=Blatt1!$B$2,B304,"")</f>
        <v/>
      </c>
      <c r="D304" t="s">
        <v>283</v>
      </c>
    </row>
    <row r="305" spans="1:4" x14ac:dyDescent="0.35">
      <c r="A305" t="s">
        <v>269</v>
      </c>
      <c r="B305" t="s">
        <v>175</v>
      </c>
      <c r="C305" t="str">
        <f>IF(A305=Blatt1!$B$2,B305,"")</f>
        <v/>
      </c>
      <c r="D305" t="s">
        <v>283</v>
      </c>
    </row>
    <row r="306" spans="1:4" x14ac:dyDescent="0.35">
      <c r="A306" t="s">
        <v>269</v>
      </c>
      <c r="B306" t="s">
        <v>170</v>
      </c>
      <c r="C306" t="str">
        <f>IF(A306=Blatt1!$B$2,B306,"")</f>
        <v/>
      </c>
      <c r="D306" t="s">
        <v>283</v>
      </c>
    </row>
    <row r="307" spans="1:4" x14ac:dyDescent="0.35">
      <c r="A307" t="s">
        <v>269</v>
      </c>
      <c r="B307" t="s">
        <v>19</v>
      </c>
      <c r="C307" t="str">
        <f>IF(A307=Blatt1!$B$2,B307,"")</f>
        <v/>
      </c>
      <c r="D307" t="s">
        <v>283</v>
      </c>
    </row>
    <row r="308" spans="1:4" x14ac:dyDescent="0.35">
      <c r="A308" t="s">
        <v>269</v>
      </c>
      <c r="B308" t="s">
        <v>23</v>
      </c>
      <c r="C308" t="str">
        <f>IF(A308=Blatt1!$B$2,B308,"")</f>
        <v/>
      </c>
      <c r="D308" t="s">
        <v>282</v>
      </c>
    </row>
    <row r="309" spans="1:4" x14ac:dyDescent="0.35">
      <c r="A309" t="s">
        <v>269</v>
      </c>
      <c r="B309" t="s">
        <v>20</v>
      </c>
      <c r="C309" t="str">
        <f>IF(A309=Blatt1!$B$2,B309,"")</f>
        <v/>
      </c>
      <c r="D309" t="s">
        <v>284</v>
      </c>
    </row>
    <row r="310" spans="1:4" x14ac:dyDescent="0.35">
      <c r="A310" t="s">
        <v>269</v>
      </c>
      <c r="B310" t="s">
        <v>178</v>
      </c>
      <c r="C310" t="str">
        <f>IF(A310=Blatt1!$B$2,B310,"")</f>
        <v/>
      </c>
      <c r="D310" t="s">
        <v>283</v>
      </c>
    </row>
    <row r="311" spans="1:4" x14ac:dyDescent="0.35">
      <c r="A311" t="s">
        <v>269</v>
      </c>
      <c r="B311" t="s">
        <v>176</v>
      </c>
      <c r="C311" t="str">
        <f>IF(A311=Blatt1!$B$2,B311,"")</f>
        <v/>
      </c>
      <c r="D311" t="s">
        <v>283</v>
      </c>
    </row>
    <row r="312" spans="1:4" x14ac:dyDescent="0.35">
      <c r="A312" t="s">
        <v>269</v>
      </c>
      <c r="B312" t="s">
        <v>177</v>
      </c>
      <c r="C312" t="str">
        <f>IF(A312=Blatt1!$B$2,B312,"")</f>
        <v/>
      </c>
      <c r="D312" t="s">
        <v>283</v>
      </c>
    </row>
    <row r="313" spans="1:4" x14ac:dyDescent="0.35">
      <c r="A313" t="s">
        <v>270</v>
      </c>
      <c r="B313" t="s">
        <v>18</v>
      </c>
      <c r="C313" t="str">
        <f>IF(A313=Blatt1!$B$2,B313,"")</f>
        <v/>
      </c>
      <c r="D313" t="s">
        <v>283</v>
      </c>
    </row>
    <row r="314" spans="1:4" x14ac:dyDescent="0.35">
      <c r="A314" t="s">
        <v>270</v>
      </c>
      <c r="B314" t="s">
        <v>175</v>
      </c>
      <c r="C314" t="str">
        <f>IF(A314=Blatt1!$B$2,B314,"")</f>
        <v/>
      </c>
      <c r="D314" t="s">
        <v>283</v>
      </c>
    </row>
    <row r="315" spans="1:4" x14ac:dyDescent="0.35">
      <c r="A315" t="s">
        <v>270</v>
      </c>
      <c r="B315" t="s">
        <v>170</v>
      </c>
      <c r="C315" t="str">
        <f>IF(A315=Blatt1!$B$2,B315,"")</f>
        <v/>
      </c>
      <c r="D315" t="s">
        <v>283</v>
      </c>
    </row>
    <row r="316" spans="1:4" x14ac:dyDescent="0.35">
      <c r="A316" t="s">
        <v>270</v>
      </c>
      <c r="B316" t="s">
        <v>19</v>
      </c>
      <c r="C316" t="str">
        <f>IF(A316=Blatt1!$B$2,B316,"")</f>
        <v/>
      </c>
      <c r="D316" t="s">
        <v>283</v>
      </c>
    </row>
    <row r="317" spans="1:4" x14ac:dyDescent="0.35">
      <c r="A317" t="s">
        <v>270</v>
      </c>
      <c r="B317" t="s">
        <v>23</v>
      </c>
      <c r="C317" t="str">
        <f>IF(A317=Blatt1!$B$2,B317,"")</f>
        <v/>
      </c>
      <c r="D317" t="s">
        <v>282</v>
      </c>
    </row>
    <row r="318" spans="1:4" x14ac:dyDescent="0.35">
      <c r="A318" t="s">
        <v>270</v>
      </c>
      <c r="B318" t="s">
        <v>20</v>
      </c>
      <c r="C318" t="str">
        <f>IF(A318=Blatt1!$B$2,B318,"")</f>
        <v/>
      </c>
      <c r="D318" t="s">
        <v>284</v>
      </c>
    </row>
    <row r="319" spans="1:4" x14ac:dyDescent="0.35">
      <c r="A319" t="s">
        <v>270</v>
      </c>
      <c r="B319" t="s">
        <v>178</v>
      </c>
      <c r="C319" t="str">
        <f>IF(A319=Blatt1!$B$2,B319,"")</f>
        <v/>
      </c>
      <c r="D319" t="s">
        <v>283</v>
      </c>
    </row>
    <row r="320" spans="1:4" x14ac:dyDescent="0.35">
      <c r="A320" t="s">
        <v>270</v>
      </c>
      <c r="B320" t="s">
        <v>176</v>
      </c>
      <c r="C320" t="str">
        <f>IF(A320=Blatt1!$B$2,B320,"")</f>
        <v/>
      </c>
      <c r="D320" t="s">
        <v>284</v>
      </c>
    </row>
    <row r="321" spans="1:4" x14ac:dyDescent="0.35">
      <c r="A321" t="s">
        <v>270</v>
      </c>
      <c r="B321" t="s">
        <v>177</v>
      </c>
      <c r="C321" t="str">
        <f>IF(A321=Blatt1!$B$2,B321,"")</f>
        <v/>
      </c>
      <c r="D321" t="s">
        <v>283</v>
      </c>
    </row>
    <row r="322" spans="1:4" x14ac:dyDescent="0.35">
      <c r="A322" t="s">
        <v>271</v>
      </c>
      <c r="B322" t="s">
        <v>18</v>
      </c>
      <c r="C322" t="str">
        <f>IF(A322=Blatt1!$B$2,B322,"")</f>
        <v/>
      </c>
      <c r="D322" t="s">
        <v>283</v>
      </c>
    </row>
    <row r="323" spans="1:4" x14ac:dyDescent="0.35">
      <c r="A323" t="s">
        <v>271</v>
      </c>
      <c r="B323" t="s">
        <v>23</v>
      </c>
      <c r="C323" t="str">
        <f>IF(A323=Blatt1!$B$2,B323,"")</f>
        <v/>
      </c>
      <c r="D323" t="s">
        <v>283</v>
      </c>
    </row>
    <row r="324" spans="1:4" x14ac:dyDescent="0.35">
      <c r="A324" t="s">
        <v>272</v>
      </c>
      <c r="B324" t="s">
        <v>176</v>
      </c>
      <c r="C324" t="str">
        <f>IF(A324=Blatt1!$B$2,B324,"")</f>
        <v/>
      </c>
      <c r="D324" t="s">
        <v>282</v>
      </c>
    </row>
    <row r="325" spans="1:4" x14ac:dyDescent="0.35">
      <c r="A325" t="s">
        <v>271</v>
      </c>
      <c r="B325" t="s">
        <v>177</v>
      </c>
      <c r="C325" t="str">
        <f>IF(A325=Blatt1!$B$2,B325,"")</f>
        <v/>
      </c>
      <c r="D325" t="s">
        <v>283</v>
      </c>
    </row>
    <row r="326" spans="1:4" x14ac:dyDescent="0.35">
      <c r="A326" t="s">
        <v>271</v>
      </c>
      <c r="B326" t="s">
        <v>174</v>
      </c>
      <c r="C326" t="str">
        <f>IF(A326=Blatt1!$B$2,B326,"")</f>
        <v/>
      </c>
      <c r="D326" t="s">
        <v>283</v>
      </c>
    </row>
    <row r="327" spans="1:4" x14ac:dyDescent="0.35">
      <c r="A327" t="s">
        <v>271</v>
      </c>
      <c r="B327" t="s">
        <v>285</v>
      </c>
      <c r="C327" t="str">
        <f>IF(A327=Blatt1!$B$2,B327,"")</f>
        <v/>
      </c>
      <c r="D327" t="s">
        <v>282</v>
      </c>
    </row>
    <row r="328" spans="1:4" x14ac:dyDescent="0.35">
      <c r="A328" t="s">
        <v>272</v>
      </c>
      <c r="B328" t="s">
        <v>18</v>
      </c>
      <c r="C328" t="str">
        <f>IF(A328=Blatt1!$B$2,B328,"")</f>
        <v/>
      </c>
      <c r="D328" t="s">
        <v>283</v>
      </c>
    </row>
    <row r="329" spans="1:4" x14ac:dyDescent="0.35">
      <c r="A329" t="s">
        <v>272</v>
      </c>
      <c r="B329" t="s">
        <v>23</v>
      </c>
      <c r="C329" t="str">
        <f>IF(A329=Blatt1!$B$2,B329,"")</f>
        <v/>
      </c>
      <c r="D329" t="s">
        <v>283</v>
      </c>
    </row>
    <row r="330" spans="1:4" x14ac:dyDescent="0.35">
      <c r="A330" t="s">
        <v>272</v>
      </c>
      <c r="B330" t="s">
        <v>176</v>
      </c>
      <c r="C330" t="str">
        <f>IF(A330=Blatt1!$B$2,B330,"")</f>
        <v/>
      </c>
      <c r="D330" t="s">
        <v>282</v>
      </c>
    </row>
    <row r="331" spans="1:4" x14ac:dyDescent="0.35">
      <c r="A331" t="s">
        <v>272</v>
      </c>
      <c r="B331" t="s">
        <v>177</v>
      </c>
      <c r="C331" t="str">
        <f>IF(A331=Blatt1!$B$2,B331,"")</f>
        <v/>
      </c>
      <c r="D331" t="s">
        <v>283</v>
      </c>
    </row>
    <row r="332" spans="1:4" x14ac:dyDescent="0.35">
      <c r="A332" t="s">
        <v>272</v>
      </c>
      <c r="B332" t="s">
        <v>174</v>
      </c>
      <c r="C332" t="str">
        <f>IF(A332=Blatt1!$B$2,B332,"")</f>
        <v/>
      </c>
      <c r="D332" t="s">
        <v>284</v>
      </c>
    </row>
    <row r="333" spans="1:4" x14ac:dyDescent="0.35">
      <c r="A333" t="s">
        <v>272</v>
      </c>
      <c r="B333" t="s">
        <v>285</v>
      </c>
      <c r="C333" t="str">
        <f>IF(A333=Blatt1!$B$2,B333,"")</f>
        <v/>
      </c>
      <c r="D333" t="s">
        <v>282</v>
      </c>
    </row>
    <row r="334" spans="1:4" x14ac:dyDescent="0.35">
      <c r="A334" t="s">
        <v>277</v>
      </c>
      <c r="B334" t="s">
        <v>177</v>
      </c>
      <c r="C334" t="str">
        <f>IF(A334=Blatt1!$B$2,B334,"")</f>
        <v/>
      </c>
      <c r="D334" t="s">
        <v>283</v>
      </c>
    </row>
    <row r="335" spans="1:4" x14ac:dyDescent="0.35">
      <c r="A335" t="s">
        <v>273</v>
      </c>
      <c r="B335" t="s">
        <v>18</v>
      </c>
      <c r="C335" t="str">
        <f>IF(A335=Blatt1!$B$2,B335,"")</f>
        <v/>
      </c>
      <c r="D335" t="s">
        <v>282</v>
      </c>
    </row>
    <row r="336" spans="1:4" x14ac:dyDescent="0.35">
      <c r="A336" t="s">
        <v>273</v>
      </c>
      <c r="B336" t="s">
        <v>175</v>
      </c>
      <c r="C336" t="str">
        <f>IF(A336=Blatt1!$B$2,B336,"")</f>
        <v/>
      </c>
      <c r="D336" t="s">
        <v>283</v>
      </c>
    </row>
    <row r="337" spans="1:4" x14ac:dyDescent="0.35">
      <c r="A337" t="s">
        <v>273</v>
      </c>
      <c r="B337" t="s">
        <v>170</v>
      </c>
      <c r="C337" t="str">
        <f>IF(A337=Blatt1!$B$2,B337,"")</f>
        <v/>
      </c>
      <c r="D337" t="s">
        <v>283</v>
      </c>
    </row>
    <row r="338" spans="1:4" x14ac:dyDescent="0.35">
      <c r="A338" t="s">
        <v>273</v>
      </c>
      <c r="B338" t="s">
        <v>19</v>
      </c>
      <c r="C338" t="str">
        <f>IF(A338=Blatt1!$B$2,B338,"")</f>
        <v/>
      </c>
      <c r="D338" t="s">
        <v>283</v>
      </c>
    </row>
    <row r="339" spans="1:4" x14ac:dyDescent="0.35">
      <c r="A339" t="s">
        <v>273</v>
      </c>
      <c r="B339" t="s">
        <v>23</v>
      </c>
      <c r="C339" t="str">
        <f>IF(A339=Blatt1!$B$2,B339,"")</f>
        <v/>
      </c>
      <c r="D339" t="s">
        <v>282</v>
      </c>
    </row>
    <row r="340" spans="1:4" x14ac:dyDescent="0.35">
      <c r="A340" t="s">
        <v>273</v>
      </c>
      <c r="B340" t="s">
        <v>176</v>
      </c>
      <c r="C340" t="str">
        <f>IF(A340=Blatt1!$B$2,B340,"")</f>
        <v/>
      </c>
      <c r="D340" t="s">
        <v>282</v>
      </c>
    </row>
    <row r="341" spans="1:4" x14ac:dyDescent="0.35">
      <c r="A341" t="s">
        <v>273</v>
      </c>
      <c r="B341" t="s">
        <v>177</v>
      </c>
      <c r="C341" t="str">
        <f>IF(A341=Blatt1!$B$2,B341,"")</f>
        <v/>
      </c>
      <c r="D341" t="s">
        <v>282</v>
      </c>
    </row>
    <row r="342" spans="1:4" x14ac:dyDescent="0.35">
      <c r="A342" t="s">
        <v>273</v>
      </c>
      <c r="B342" t="s">
        <v>174</v>
      </c>
      <c r="C342" t="str">
        <f>IF(A342=Blatt1!$B$2,B342,"")</f>
        <v/>
      </c>
      <c r="D342" t="s">
        <v>282</v>
      </c>
    </row>
    <row r="343" spans="1:4" x14ac:dyDescent="0.35">
      <c r="A343" t="s">
        <v>273</v>
      </c>
      <c r="B343" t="s">
        <v>285</v>
      </c>
      <c r="C343" t="str">
        <f>IF(A343=Blatt1!$B$2,B343,"")</f>
        <v/>
      </c>
      <c r="D343" t="s">
        <v>284</v>
      </c>
    </row>
    <row r="344" spans="1:4" x14ac:dyDescent="0.35">
      <c r="A344" t="s">
        <v>274</v>
      </c>
      <c r="B344" t="s">
        <v>18</v>
      </c>
      <c r="C344" t="str">
        <f>IF(A344=Blatt1!$B$2,B344,"")</f>
        <v/>
      </c>
      <c r="D344" t="s">
        <v>282</v>
      </c>
    </row>
    <row r="345" spans="1:4" x14ac:dyDescent="0.35">
      <c r="A345" t="s">
        <v>274</v>
      </c>
      <c r="B345" t="s">
        <v>175</v>
      </c>
      <c r="C345" t="str">
        <f>IF(A345=Blatt1!$B$2,B345,"")</f>
        <v/>
      </c>
      <c r="D345" t="s">
        <v>283</v>
      </c>
    </row>
    <row r="346" spans="1:4" x14ac:dyDescent="0.35">
      <c r="A346" t="s">
        <v>274</v>
      </c>
      <c r="B346" t="s">
        <v>170</v>
      </c>
      <c r="C346" t="str">
        <f>IF(A346=Blatt1!$B$2,B346,"")</f>
        <v/>
      </c>
      <c r="D346" t="s">
        <v>283</v>
      </c>
    </row>
    <row r="347" spans="1:4" x14ac:dyDescent="0.35">
      <c r="A347" t="s">
        <v>274</v>
      </c>
      <c r="B347" t="s">
        <v>19</v>
      </c>
      <c r="C347" t="str">
        <f>IF(A347=Blatt1!$B$2,B347,"")</f>
        <v/>
      </c>
      <c r="D347" t="s">
        <v>283</v>
      </c>
    </row>
    <row r="348" spans="1:4" x14ac:dyDescent="0.35">
      <c r="A348" t="s">
        <v>274</v>
      </c>
      <c r="B348" t="s">
        <v>23</v>
      </c>
      <c r="C348" t="str">
        <f>IF(A348=Blatt1!$B$2,B348,"")</f>
        <v/>
      </c>
      <c r="D348" t="s">
        <v>282</v>
      </c>
    </row>
    <row r="349" spans="1:4" x14ac:dyDescent="0.35">
      <c r="A349" t="s">
        <v>274</v>
      </c>
      <c r="B349" t="s">
        <v>178</v>
      </c>
      <c r="C349" t="str">
        <f>IF(A349=Blatt1!$B$2,B349,"")</f>
        <v/>
      </c>
      <c r="D349" t="s">
        <v>282</v>
      </c>
    </row>
    <row r="350" spans="1:4" x14ac:dyDescent="0.35">
      <c r="A350" t="s">
        <v>274</v>
      </c>
      <c r="B350" t="s">
        <v>176</v>
      </c>
      <c r="C350" t="str">
        <f>IF(A350=Blatt1!$B$2,B350,"")</f>
        <v/>
      </c>
      <c r="D350" t="s">
        <v>282</v>
      </c>
    </row>
    <row r="351" spans="1:4" x14ac:dyDescent="0.35">
      <c r="A351" t="s">
        <v>274</v>
      </c>
      <c r="B351" t="s">
        <v>177</v>
      </c>
      <c r="C351" t="str">
        <f>IF(A351=Blatt1!$B$2,B351,"")</f>
        <v/>
      </c>
      <c r="D351" t="s">
        <v>282</v>
      </c>
    </row>
    <row r="352" spans="1:4" x14ac:dyDescent="0.35">
      <c r="A352" t="s">
        <v>274</v>
      </c>
      <c r="B352" t="s">
        <v>174</v>
      </c>
      <c r="C352" t="str">
        <f>IF(A352=Blatt1!$B$2,B352,"")</f>
        <v/>
      </c>
      <c r="D352" t="s">
        <v>282</v>
      </c>
    </row>
    <row r="353" spans="1:4" x14ac:dyDescent="0.35">
      <c r="A353" t="s">
        <v>274</v>
      </c>
      <c r="B353" t="s">
        <v>285</v>
      </c>
      <c r="C353" t="str">
        <f>IF(A353=Blatt1!$B$2,B353,"")</f>
        <v/>
      </c>
      <c r="D353" t="s">
        <v>284</v>
      </c>
    </row>
    <row r="354" spans="1:4" x14ac:dyDescent="0.35">
      <c r="A354" t="s">
        <v>275</v>
      </c>
      <c r="B354" t="s">
        <v>18</v>
      </c>
      <c r="C354" t="str">
        <f>IF(A354=Blatt1!$B$2,B354,"")</f>
        <v/>
      </c>
      <c r="D354" t="s">
        <v>283</v>
      </c>
    </row>
    <row r="355" spans="1:4" x14ac:dyDescent="0.35">
      <c r="A355" t="s">
        <v>275</v>
      </c>
      <c r="B355" t="s">
        <v>19</v>
      </c>
      <c r="C355" t="str">
        <f>IF(A355=Blatt1!$B$2,B355,"")</f>
        <v/>
      </c>
      <c r="D355" t="s">
        <v>284</v>
      </c>
    </row>
    <row r="356" spans="1:4" x14ac:dyDescent="0.35">
      <c r="A356" t="s">
        <v>275</v>
      </c>
      <c r="B356" t="s">
        <v>23</v>
      </c>
      <c r="C356" t="str">
        <f>IF(A356=Blatt1!$B$2,B356,"")</f>
        <v/>
      </c>
      <c r="D356" t="s">
        <v>282</v>
      </c>
    </row>
    <row r="357" spans="1:4" x14ac:dyDescent="0.35">
      <c r="A357" t="s">
        <v>275</v>
      </c>
      <c r="B357" t="s">
        <v>177</v>
      </c>
      <c r="C357" t="str">
        <f>IF(A357=Blatt1!$B$2,B357,"")</f>
        <v/>
      </c>
      <c r="D357" t="s">
        <v>283</v>
      </c>
    </row>
    <row r="358" spans="1:4" x14ac:dyDescent="0.35">
      <c r="A358" t="s">
        <v>275</v>
      </c>
      <c r="B358" t="s">
        <v>174</v>
      </c>
      <c r="C358" t="str">
        <f>IF(A358=Blatt1!$B$2,B358,"")</f>
        <v/>
      </c>
      <c r="D358" t="s">
        <v>282</v>
      </c>
    </row>
    <row r="359" spans="1:4" x14ac:dyDescent="0.35">
      <c r="A359" t="s">
        <v>275</v>
      </c>
      <c r="B359" t="s">
        <v>182</v>
      </c>
      <c r="C359" t="str">
        <f>IF(A359=Blatt1!$B$2,B359,"")</f>
        <v/>
      </c>
      <c r="D359" t="s">
        <v>283</v>
      </c>
    </row>
    <row r="360" spans="1:4" x14ac:dyDescent="0.35">
      <c r="A360" t="s">
        <v>275</v>
      </c>
      <c r="B360" t="s">
        <v>183</v>
      </c>
      <c r="C360" t="str">
        <f>IF(A360=Blatt1!$B$2,B360,"")</f>
        <v/>
      </c>
      <c r="D360" t="s">
        <v>283</v>
      </c>
    </row>
    <row r="361" spans="1:4" x14ac:dyDescent="0.35">
      <c r="A361" t="s">
        <v>275</v>
      </c>
      <c r="B361" t="s">
        <v>285</v>
      </c>
      <c r="C361" t="str">
        <f>IF(A361=Blatt1!$B$2,B361,"")</f>
        <v/>
      </c>
      <c r="D361" t="s">
        <v>284</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E4F4-CC62-45F0-8F28-AC56A5B75D96}">
  <sheetPr codeName="Tabelle10"/>
  <dimension ref="A1:K253"/>
  <sheetViews>
    <sheetView workbookViewId="0">
      <selection activeCell="C1" sqref="C1"/>
    </sheetView>
  </sheetViews>
  <sheetFormatPr baseColWidth="10" defaultRowHeight="14.5" x14ac:dyDescent="0.35"/>
  <cols>
    <col min="1" max="1" width="38" bestFit="1" customWidth="1"/>
    <col min="2" max="2" width="62.453125" bestFit="1" customWidth="1"/>
    <col min="8" max="8" width="51.36328125" bestFit="1" customWidth="1"/>
    <col min="11" max="11" width="62.453125" bestFit="1" customWidth="1"/>
  </cols>
  <sheetData>
    <row r="1" spans="1:11" x14ac:dyDescent="0.35">
      <c r="A1" t="s">
        <v>180</v>
      </c>
      <c r="B1" s="10" t="s">
        <v>228</v>
      </c>
    </row>
    <row r="2" spans="1:11" x14ac:dyDescent="0.35">
      <c r="A2" t="s">
        <v>180</v>
      </c>
      <c r="B2" s="10" t="s">
        <v>225</v>
      </c>
    </row>
    <row r="3" spans="1:11" x14ac:dyDescent="0.35">
      <c r="A3" t="s">
        <v>180</v>
      </c>
      <c r="B3" s="10" t="s">
        <v>229</v>
      </c>
    </row>
    <row r="4" spans="1:11" x14ac:dyDescent="0.35">
      <c r="A4" t="s">
        <v>182</v>
      </c>
      <c r="B4" s="10" t="s">
        <v>227</v>
      </c>
      <c r="K4" s="10"/>
    </row>
    <row r="5" spans="1:11" x14ac:dyDescent="0.35">
      <c r="A5" t="s">
        <v>183</v>
      </c>
      <c r="B5" s="10" t="s">
        <v>227</v>
      </c>
    </row>
    <row r="6" spans="1:11" x14ac:dyDescent="0.35">
      <c r="A6" t="s">
        <v>182</v>
      </c>
      <c r="B6" s="10" t="s">
        <v>226</v>
      </c>
      <c r="K6" s="10"/>
    </row>
    <row r="7" spans="1:11" x14ac:dyDescent="0.35">
      <c r="A7" t="s">
        <v>176</v>
      </c>
      <c r="B7" s="10" t="s">
        <v>226</v>
      </c>
    </row>
    <row r="8" spans="1:11" x14ac:dyDescent="0.35">
      <c r="A8" t="s">
        <v>20</v>
      </c>
      <c r="B8" s="10" t="s">
        <v>226</v>
      </c>
    </row>
    <row r="9" spans="1:11" x14ac:dyDescent="0.35">
      <c r="A9" t="s">
        <v>178</v>
      </c>
      <c r="B9" s="10" t="s">
        <v>226</v>
      </c>
    </row>
    <row r="10" spans="1:11" x14ac:dyDescent="0.35">
      <c r="A10" t="s">
        <v>177</v>
      </c>
      <c r="B10" s="10" t="s">
        <v>226</v>
      </c>
    </row>
    <row r="11" spans="1:11" x14ac:dyDescent="0.35">
      <c r="A11" t="s">
        <v>182</v>
      </c>
      <c r="B11" s="10" t="s">
        <v>223</v>
      </c>
    </row>
    <row r="12" spans="1:11" x14ac:dyDescent="0.35">
      <c r="A12" t="s">
        <v>176</v>
      </c>
      <c r="B12" s="10" t="s">
        <v>223</v>
      </c>
    </row>
    <row r="13" spans="1:11" x14ac:dyDescent="0.35">
      <c r="A13" t="s">
        <v>20</v>
      </c>
      <c r="B13" s="10" t="s">
        <v>223</v>
      </c>
    </row>
    <row r="14" spans="1:11" x14ac:dyDescent="0.35">
      <c r="A14" t="s">
        <v>178</v>
      </c>
      <c r="B14" s="10" t="s">
        <v>223</v>
      </c>
    </row>
    <row r="15" spans="1:11" x14ac:dyDescent="0.35">
      <c r="A15" t="s">
        <v>177</v>
      </c>
      <c r="B15" s="10" t="s">
        <v>223</v>
      </c>
    </row>
    <row r="16" spans="1:11" x14ac:dyDescent="0.35">
      <c r="A16" t="s">
        <v>176</v>
      </c>
      <c r="B16" s="10" t="s">
        <v>233</v>
      </c>
    </row>
    <row r="17" spans="1:11" x14ac:dyDescent="0.35">
      <c r="A17" t="s">
        <v>175</v>
      </c>
      <c r="B17" s="10" t="s">
        <v>233</v>
      </c>
    </row>
    <row r="18" spans="1:11" x14ac:dyDescent="0.35">
      <c r="A18" t="s">
        <v>19</v>
      </c>
      <c r="B18" s="10" t="s">
        <v>233</v>
      </c>
    </row>
    <row r="19" spans="1:11" x14ac:dyDescent="0.35">
      <c r="A19" t="s">
        <v>178</v>
      </c>
      <c r="B19" s="10" t="s">
        <v>233</v>
      </c>
    </row>
    <row r="20" spans="1:11" x14ac:dyDescent="0.35">
      <c r="A20" t="s">
        <v>182</v>
      </c>
      <c r="B20" s="10" t="s">
        <v>232</v>
      </c>
      <c r="K20" s="10"/>
    </row>
    <row r="21" spans="1:11" x14ac:dyDescent="0.35">
      <c r="A21" t="s">
        <v>176</v>
      </c>
      <c r="B21" s="10" t="s">
        <v>232</v>
      </c>
    </row>
    <row r="22" spans="1:11" x14ac:dyDescent="0.35">
      <c r="A22" t="s">
        <v>175</v>
      </c>
      <c r="B22" s="10" t="s">
        <v>232</v>
      </c>
    </row>
    <row r="23" spans="1:11" x14ac:dyDescent="0.35">
      <c r="A23" t="s">
        <v>19</v>
      </c>
      <c r="B23" s="10" t="s">
        <v>232</v>
      </c>
    </row>
    <row r="24" spans="1:11" x14ac:dyDescent="0.35">
      <c r="A24" t="s">
        <v>178</v>
      </c>
      <c r="B24" s="10" t="s">
        <v>232</v>
      </c>
    </row>
    <row r="25" spans="1:11" x14ac:dyDescent="0.35">
      <c r="A25" t="s">
        <v>176</v>
      </c>
      <c r="B25" s="10" t="s">
        <v>143</v>
      </c>
    </row>
    <row r="26" spans="1:11" x14ac:dyDescent="0.35">
      <c r="A26" t="s">
        <v>177</v>
      </c>
      <c r="B26" s="10" t="s">
        <v>143</v>
      </c>
    </row>
    <row r="27" spans="1:11" x14ac:dyDescent="0.35">
      <c r="A27" t="s">
        <v>170</v>
      </c>
      <c r="B27" t="s">
        <v>14</v>
      </c>
    </row>
    <row r="28" spans="1:11" x14ac:dyDescent="0.35">
      <c r="A28" t="s">
        <v>176</v>
      </c>
      <c r="B28" t="s">
        <v>14</v>
      </c>
    </row>
    <row r="29" spans="1:11" x14ac:dyDescent="0.35">
      <c r="A29" t="s">
        <v>20</v>
      </c>
      <c r="B29" t="s">
        <v>14</v>
      </c>
    </row>
    <row r="30" spans="1:11" x14ac:dyDescent="0.35">
      <c r="A30" t="s">
        <v>175</v>
      </c>
      <c r="B30" t="s">
        <v>14</v>
      </c>
    </row>
    <row r="31" spans="1:11" x14ac:dyDescent="0.35">
      <c r="A31" t="s">
        <v>18</v>
      </c>
      <c r="B31" t="s">
        <v>14</v>
      </c>
    </row>
    <row r="32" spans="1:11" x14ac:dyDescent="0.35">
      <c r="A32" t="s">
        <v>178</v>
      </c>
      <c r="B32" t="s">
        <v>14</v>
      </c>
    </row>
    <row r="33" spans="1:2" x14ac:dyDescent="0.35">
      <c r="A33" t="s">
        <v>177</v>
      </c>
      <c r="B33" t="s">
        <v>14</v>
      </c>
    </row>
    <row r="34" spans="1:2" x14ac:dyDescent="0.35">
      <c r="A34" t="s">
        <v>23</v>
      </c>
      <c r="B34" t="s">
        <v>14</v>
      </c>
    </row>
    <row r="35" spans="1:2" x14ac:dyDescent="0.35">
      <c r="A35" t="s">
        <v>182</v>
      </c>
      <c r="B35" t="s">
        <v>222</v>
      </c>
    </row>
    <row r="36" spans="1:2" x14ac:dyDescent="0.35">
      <c r="A36" t="s">
        <v>176</v>
      </c>
      <c r="B36" t="s">
        <v>222</v>
      </c>
    </row>
    <row r="37" spans="1:2" x14ac:dyDescent="0.35">
      <c r="A37" t="s">
        <v>20</v>
      </c>
      <c r="B37" t="s">
        <v>222</v>
      </c>
    </row>
    <row r="38" spans="1:2" x14ac:dyDescent="0.35">
      <c r="A38" t="s">
        <v>19</v>
      </c>
      <c r="B38" t="s">
        <v>222</v>
      </c>
    </row>
    <row r="39" spans="1:2" x14ac:dyDescent="0.35">
      <c r="A39" t="s">
        <v>178</v>
      </c>
      <c r="B39" t="s">
        <v>222</v>
      </c>
    </row>
    <row r="40" spans="1:2" x14ac:dyDescent="0.35">
      <c r="A40" t="s">
        <v>23</v>
      </c>
      <c r="B40" t="s">
        <v>222</v>
      </c>
    </row>
    <row r="41" spans="1:2" x14ac:dyDescent="0.35">
      <c r="A41" t="s">
        <v>285</v>
      </c>
      <c r="B41" s="10" t="s">
        <v>245</v>
      </c>
    </row>
    <row r="42" spans="1:2" x14ac:dyDescent="0.35">
      <c r="A42" t="s">
        <v>170</v>
      </c>
      <c r="B42" s="10" t="s">
        <v>245</v>
      </c>
    </row>
    <row r="43" spans="1:2" x14ac:dyDescent="0.35">
      <c r="A43" t="s">
        <v>176</v>
      </c>
      <c r="B43" s="10" t="s">
        <v>245</v>
      </c>
    </row>
    <row r="44" spans="1:2" x14ac:dyDescent="0.35">
      <c r="A44" t="s">
        <v>175</v>
      </c>
      <c r="B44" s="10" t="s">
        <v>245</v>
      </c>
    </row>
    <row r="45" spans="1:2" x14ac:dyDescent="0.35">
      <c r="A45" t="s">
        <v>18</v>
      </c>
      <c r="B45" s="10" t="s">
        <v>245</v>
      </c>
    </row>
    <row r="46" spans="1:2" x14ac:dyDescent="0.35">
      <c r="A46" t="s">
        <v>178</v>
      </c>
      <c r="B46" s="10" t="s">
        <v>245</v>
      </c>
    </row>
    <row r="47" spans="1:2" x14ac:dyDescent="0.35">
      <c r="A47" t="s">
        <v>23</v>
      </c>
      <c r="B47" s="10" t="s">
        <v>245</v>
      </c>
    </row>
    <row r="48" spans="1:2" x14ac:dyDescent="0.35">
      <c r="A48" t="s">
        <v>170</v>
      </c>
      <c r="B48" t="s">
        <v>50</v>
      </c>
    </row>
    <row r="49" spans="1:2" x14ac:dyDescent="0.35">
      <c r="A49" t="s">
        <v>176</v>
      </c>
      <c r="B49" t="s">
        <v>50</v>
      </c>
    </row>
    <row r="50" spans="1:2" x14ac:dyDescent="0.35">
      <c r="A50" t="s">
        <v>20</v>
      </c>
      <c r="B50" t="s">
        <v>50</v>
      </c>
    </row>
    <row r="51" spans="1:2" x14ac:dyDescent="0.35">
      <c r="A51" t="s">
        <v>175</v>
      </c>
      <c r="B51" t="s">
        <v>50</v>
      </c>
    </row>
    <row r="52" spans="1:2" x14ac:dyDescent="0.35">
      <c r="A52" t="s">
        <v>19</v>
      </c>
      <c r="B52" t="s">
        <v>50</v>
      </c>
    </row>
    <row r="53" spans="1:2" x14ac:dyDescent="0.35">
      <c r="A53" t="s">
        <v>18</v>
      </c>
      <c r="B53" t="s">
        <v>50</v>
      </c>
    </row>
    <row r="54" spans="1:2" x14ac:dyDescent="0.35">
      <c r="A54" t="s">
        <v>178</v>
      </c>
      <c r="B54" t="s">
        <v>50</v>
      </c>
    </row>
    <row r="55" spans="1:2" x14ac:dyDescent="0.35">
      <c r="A55" t="s">
        <v>176</v>
      </c>
      <c r="B55" t="s">
        <v>218</v>
      </c>
    </row>
    <row r="56" spans="1:2" x14ac:dyDescent="0.35">
      <c r="A56" t="s">
        <v>20</v>
      </c>
      <c r="B56" t="s">
        <v>218</v>
      </c>
    </row>
    <row r="57" spans="1:2" x14ac:dyDescent="0.35">
      <c r="A57" t="s">
        <v>18</v>
      </c>
      <c r="B57" t="s">
        <v>218</v>
      </c>
    </row>
    <row r="58" spans="1:2" x14ac:dyDescent="0.35">
      <c r="A58" t="s">
        <v>178</v>
      </c>
      <c r="B58" t="s">
        <v>218</v>
      </c>
    </row>
    <row r="59" spans="1:2" x14ac:dyDescent="0.35">
      <c r="A59" t="s">
        <v>176</v>
      </c>
      <c r="B59" t="s">
        <v>51</v>
      </c>
    </row>
    <row r="60" spans="1:2" x14ac:dyDescent="0.35">
      <c r="A60" t="s">
        <v>20</v>
      </c>
      <c r="B60" t="s">
        <v>51</v>
      </c>
    </row>
    <row r="61" spans="1:2" x14ac:dyDescent="0.35">
      <c r="A61" t="s">
        <v>18</v>
      </c>
      <c r="B61" t="s">
        <v>51</v>
      </c>
    </row>
    <row r="62" spans="1:2" x14ac:dyDescent="0.35">
      <c r="A62" t="s">
        <v>178</v>
      </c>
      <c r="B62" t="s">
        <v>51</v>
      </c>
    </row>
    <row r="63" spans="1:2" x14ac:dyDescent="0.35">
      <c r="A63" t="s">
        <v>170</v>
      </c>
      <c r="B63" t="s">
        <v>15</v>
      </c>
    </row>
    <row r="64" spans="1:2" x14ac:dyDescent="0.35">
      <c r="A64" t="s">
        <v>176</v>
      </c>
      <c r="B64" t="s">
        <v>15</v>
      </c>
    </row>
    <row r="65" spans="1:2" x14ac:dyDescent="0.35">
      <c r="A65" t="s">
        <v>20</v>
      </c>
      <c r="B65" t="s">
        <v>15</v>
      </c>
    </row>
    <row r="66" spans="1:2" x14ac:dyDescent="0.35">
      <c r="A66" t="s">
        <v>175</v>
      </c>
      <c r="B66" t="s">
        <v>15</v>
      </c>
    </row>
    <row r="67" spans="1:2" x14ac:dyDescent="0.35">
      <c r="A67" t="s">
        <v>18</v>
      </c>
      <c r="B67" t="s">
        <v>15</v>
      </c>
    </row>
    <row r="68" spans="1:2" x14ac:dyDescent="0.35">
      <c r="A68" t="s">
        <v>178</v>
      </c>
      <c r="B68" t="s">
        <v>15</v>
      </c>
    </row>
    <row r="69" spans="1:2" x14ac:dyDescent="0.35">
      <c r="A69" t="s">
        <v>177</v>
      </c>
      <c r="B69" t="s">
        <v>15</v>
      </c>
    </row>
    <row r="70" spans="1:2" x14ac:dyDescent="0.35">
      <c r="A70" t="s">
        <v>23</v>
      </c>
      <c r="B70" t="s">
        <v>15</v>
      </c>
    </row>
    <row r="71" spans="1:2" x14ac:dyDescent="0.35">
      <c r="A71" t="s">
        <v>170</v>
      </c>
      <c r="B71" t="s">
        <v>213</v>
      </c>
    </row>
    <row r="72" spans="1:2" x14ac:dyDescent="0.35">
      <c r="A72" t="s">
        <v>176</v>
      </c>
      <c r="B72" t="s">
        <v>213</v>
      </c>
    </row>
    <row r="73" spans="1:2" x14ac:dyDescent="0.35">
      <c r="A73" t="s">
        <v>20</v>
      </c>
      <c r="B73" t="s">
        <v>213</v>
      </c>
    </row>
    <row r="74" spans="1:2" x14ac:dyDescent="0.35">
      <c r="A74" t="s">
        <v>175</v>
      </c>
      <c r="B74" t="s">
        <v>213</v>
      </c>
    </row>
    <row r="75" spans="1:2" x14ac:dyDescent="0.35">
      <c r="A75" t="s">
        <v>18</v>
      </c>
      <c r="B75" t="s">
        <v>213</v>
      </c>
    </row>
    <row r="76" spans="1:2" x14ac:dyDescent="0.35">
      <c r="A76" t="s">
        <v>178</v>
      </c>
      <c r="B76" t="s">
        <v>213</v>
      </c>
    </row>
    <row r="77" spans="1:2" x14ac:dyDescent="0.35">
      <c r="A77" t="s">
        <v>23</v>
      </c>
      <c r="B77" t="s">
        <v>213</v>
      </c>
    </row>
    <row r="78" spans="1:2" x14ac:dyDescent="0.35">
      <c r="A78" t="s">
        <v>170</v>
      </c>
      <c r="B78" t="s">
        <v>212</v>
      </c>
    </row>
    <row r="79" spans="1:2" x14ac:dyDescent="0.35">
      <c r="A79" t="s">
        <v>176</v>
      </c>
      <c r="B79" t="s">
        <v>212</v>
      </c>
    </row>
    <row r="80" spans="1:2" x14ac:dyDescent="0.35">
      <c r="A80" t="s">
        <v>20</v>
      </c>
      <c r="B80" t="s">
        <v>212</v>
      </c>
    </row>
    <row r="81" spans="1:2" x14ac:dyDescent="0.35">
      <c r="A81" t="s">
        <v>175</v>
      </c>
      <c r="B81" t="s">
        <v>212</v>
      </c>
    </row>
    <row r="82" spans="1:2" x14ac:dyDescent="0.35">
      <c r="A82" t="s">
        <v>18</v>
      </c>
      <c r="B82" t="s">
        <v>212</v>
      </c>
    </row>
    <row r="83" spans="1:2" x14ac:dyDescent="0.35">
      <c r="A83" t="s">
        <v>178</v>
      </c>
      <c r="B83" t="s">
        <v>212</v>
      </c>
    </row>
    <row r="84" spans="1:2" x14ac:dyDescent="0.35">
      <c r="A84" t="s">
        <v>23</v>
      </c>
      <c r="B84" t="s">
        <v>212</v>
      </c>
    </row>
    <row r="85" spans="1:2" x14ac:dyDescent="0.35">
      <c r="A85" t="s">
        <v>170</v>
      </c>
      <c r="B85" t="s">
        <v>219</v>
      </c>
    </row>
    <row r="86" spans="1:2" x14ac:dyDescent="0.35">
      <c r="A86" t="s">
        <v>176</v>
      </c>
      <c r="B86" t="s">
        <v>219</v>
      </c>
    </row>
    <row r="87" spans="1:2" x14ac:dyDescent="0.35">
      <c r="A87" t="s">
        <v>20</v>
      </c>
      <c r="B87" t="s">
        <v>219</v>
      </c>
    </row>
    <row r="88" spans="1:2" x14ac:dyDescent="0.35">
      <c r="A88" t="s">
        <v>175</v>
      </c>
      <c r="B88" t="s">
        <v>219</v>
      </c>
    </row>
    <row r="89" spans="1:2" x14ac:dyDescent="0.35">
      <c r="A89" t="s">
        <v>18</v>
      </c>
      <c r="B89" t="s">
        <v>219</v>
      </c>
    </row>
    <row r="90" spans="1:2" x14ac:dyDescent="0.35">
      <c r="A90" t="s">
        <v>178</v>
      </c>
      <c r="B90" t="s">
        <v>219</v>
      </c>
    </row>
    <row r="91" spans="1:2" x14ac:dyDescent="0.35">
      <c r="A91" t="s">
        <v>23</v>
      </c>
      <c r="B91" t="s">
        <v>219</v>
      </c>
    </row>
    <row r="92" spans="1:2" x14ac:dyDescent="0.35">
      <c r="A92" t="s">
        <v>170</v>
      </c>
      <c r="B92" t="s">
        <v>0</v>
      </c>
    </row>
    <row r="93" spans="1:2" x14ac:dyDescent="0.35">
      <c r="A93" t="s">
        <v>176</v>
      </c>
      <c r="B93" t="s">
        <v>0</v>
      </c>
    </row>
    <row r="94" spans="1:2" x14ac:dyDescent="0.35">
      <c r="A94" t="s">
        <v>20</v>
      </c>
      <c r="B94" t="s">
        <v>0</v>
      </c>
    </row>
    <row r="95" spans="1:2" x14ac:dyDescent="0.35">
      <c r="A95" t="s">
        <v>175</v>
      </c>
      <c r="B95" t="s">
        <v>0</v>
      </c>
    </row>
    <row r="96" spans="1:2" x14ac:dyDescent="0.35">
      <c r="A96" t="s">
        <v>19</v>
      </c>
      <c r="B96" t="s">
        <v>0</v>
      </c>
    </row>
    <row r="97" spans="1:2" x14ac:dyDescent="0.35">
      <c r="A97" t="s">
        <v>18</v>
      </c>
      <c r="B97" t="s">
        <v>0</v>
      </c>
    </row>
    <row r="98" spans="1:2" x14ac:dyDescent="0.35">
      <c r="A98" t="s">
        <v>178</v>
      </c>
      <c r="B98" t="s">
        <v>0</v>
      </c>
    </row>
    <row r="99" spans="1:2" x14ac:dyDescent="0.35">
      <c r="A99" t="s">
        <v>170</v>
      </c>
      <c r="B99" t="s">
        <v>38</v>
      </c>
    </row>
    <row r="100" spans="1:2" x14ac:dyDescent="0.35">
      <c r="A100" t="s">
        <v>176</v>
      </c>
      <c r="B100" t="s">
        <v>38</v>
      </c>
    </row>
    <row r="101" spans="1:2" x14ac:dyDescent="0.35">
      <c r="A101" t="s">
        <v>20</v>
      </c>
      <c r="B101" t="s">
        <v>38</v>
      </c>
    </row>
    <row r="102" spans="1:2" x14ac:dyDescent="0.35">
      <c r="A102" t="s">
        <v>175</v>
      </c>
      <c r="B102" t="s">
        <v>38</v>
      </c>
    </row>
    <row r="103" spans="1:2" x14ac:dyDescent="0.35">
      <c r="A103" t="s">
        <v>19</v>
      </c>
      <c r="B103" t="s">
        <v>38</v>
      </c>
    </row>
    <row r="104" spans="1:2" x14ac:dyDescent="0.35">
      <c r="A104" t="s">
        <v>18</v>
      </c>
      <c r="B104" t="s">
        <v>38</v>
      </c>
    </row>
    <row r="105" spans="1:2" x14ac:dyDescent="0.35">
      <c r="A105" t="s">
        <v>178</v>
      </c>
      <c r="B105" t="s">
        <v>38</v>
      </c>
    </row>
    <row r="106" spans="1:2" x14ac:dyDescent="0.35">
      <c r="A106" t="s">
        <v>177</v>
      </c>
      <c r="B106" s="4" t="s">
        <v>249</v>
      </c>
    </row>
    <row r="107" spans="1:2" x14ac:dyDescent="0.35">
      <c r="A107" t="s">
        <v>170</v>
      </c>
      <c r="B107" s="10" t="s">
        <v>43</v>
      </c>
    </row>
    <row r="108" spans="1:2" x14ac:dyDescent="0.35">
      <c r="A108" t="s">
        <v>20</v>
      </c>
      <c r="B108" s="10" t="s">
        <v>43</v>
      </c>
    </row>
    <row r="109" spans="1:2" x14ac:dyDescent="0.35">
      <c r="A109" t="s">
        <v>175</v>
      </c>
      <c r="B109" s="10" t="s">
        <v>43</v>
      </c>
    </row>
    <row r="110" spans="1:2" x14ac:dyDescent="0.35">
      <c r="A110" t="s">
        <v>19</v>
      </c>
      <c r="B110" s="10" t="s">
        <v>43</v>
      </c>
    </row>
    <row r="111" spans="1:2" x14ac:dyDescent="0.35">
      <c r="A111" t="s">
        <v>18</v>
      </c>
      <c r="B111" s="10" t="s">
        <v>43</v>
      </c>
    </row>
    <row r="112" spans="1:2" x14ac:dyDescent="0.35">
      <c r="A112" t="s">
        <v>178</v>
      </c>
      <c r="B112" s="10" t="s">
        <v>43</v>
      </c>
    </row>
    <row r="113" spans="1:2" x14ac:dyDescent="0.35">
      <c r="A113" t="s">
        <v>177</v>
      </c>
      <c r="B113" s="10" t="s">
        <v>43</v>
      </c>
    </row>
    <row r="114" spans="1:2" x14ac:dyDescent="0.35">
      <c r="A114" t="s">
        <v>174</v>
      </c>
      <c r="B114" s="10" t="s">
        <v>43</v>
      </c>
    </row>
    <row r="115" spans="1:2" x14ac:dyDescent="0.35">
      <c r="A115" t="s">
        <v>23</v>
      </c>
      <c r="B115" s="10" t="s">
        <v>43</v>
      </c>
    </row>
    <row r="116" spans="1:2" x14ac:dyDescent="0.35">
      <c r="A116" t="s">
        <v>170</v>
      </c>
      <c r="B116" s="10" t="s">
        <v>45</v>
      </c>
    </row>
    <row r="117" spans="1:2" x14ac:dyDescent="0.35">
      <c r="A117" t="s">
        <v>176</v>
      </c>
      <c r="B117" s="10" t="s">
        <v>45</v>
      </c>
    </row>
    <row r="118" spans="1:2" x14ac:dyDescent="0.35">
      <c r="A118" t="s">
        <v>20</v>
      </c>
      <c r="B118" s="10" t="s">
        <v>45</v>
      </c>
    </row>
    <row r="119" spans="1:2" x14ac:dyDescent="0.35">
      <c r="A119" t="s">
        <v>175</v>
      </c>
      <c r="B119" s="10" t="s">
        <v>45</v>
      </c>
    </row>
    <row r="120" spans="1:2" x14ac:dyDescent="0.35">
      <c r="A120" t="s">
        <v>19</v>
      </c>
      <c r="B120" s="10" t="s">
        <v>45</v>
      </c>
    </row>
    <row r="121" spans="1:2" x14ac:dyDescent="0.35">
      <c r="A121" t="s">
        <v>18</v>
      </c>
      <c r="B121" s="10" t="s">
        <v>45</v>
      </c>
    </row>
    <row r="122" spans="1:2" x14ac:dyDescent="0.35">
      <c r="A122" t="s">
        <v>178</v>
      </c>
      <c r="B122" s="10" t="s">
        <v>45</v>
      </c>
    </row>
    <row r="123" spans="1:2" x14ac:dyDescent="0.35">
      <c r="A123" t="s">
        <v>177</v>
      </c>
      <c r="B123" s="10" t="s">
        <v>45</v>
      </c>
    </row>
    <row r="124" spans="1:2" x14ac:dyDescent="0.35">
      <c r="A124" t="s">
        <v>174</v>
      </c>
      <c r="B124" s="10" t="s">
        <v>45</v>
      </c>
    </row>
    <row r="125" spans="1:2" x14ac:dyDescent="0.35">
      <c r="A125" t="s">
        <v>23</v>
      </c>
      <c r="B125" s="10" t="s">
        <v>45</v>
      </c>
    </row>
    <row r="126" spans="1:2" x14ac:dyDescent="0.35">
      <c r="A126" t="s">
        <v>170</v>
      </c>
      <c r="B126" s="10" t="s">
        <v>44</v>
      </c>
    </row>
    <row r="127" spans="1:2" x14ac:dyDescent="0.35">
      <c r="A127" t="s">
        <v>20</v>
      </c>
      <c r="B127" s="10" t="s">
        <v>44</v>
      </c>
    </row>
    <row r="128" spans="1:2" x14ac:dyDescent="0.35">
      <c r="A128" t="s">
        <v>175</v>
      </c>
      <c r="B128" s="10" t="s">
        <v>44</v>
      </c>
    </row>
    <row r="129" spans="1:2" x14ac:dyDescent="0.35">
      <c r="A129" t="s">
        <v>19</v>
      </c>
      <c r="B129" s="10" t="s">
        <v>44</v>
      </c>
    </row>
    <row r="130" spans="1:2" x14ac:dyDescent="0.35">
      <c r="A130" t="s">
        <v>18</v>
      </c>
      <c r="B130" s="10" t="s">
        <v>44</v>
      </c>
    </row>
    <row r="131" spans="1:2" x14ac:dyDescent="0.35">
      <c r="A131" t="s">
        <v>178</v>
      </c>
      <c r="B131" s="10" t="s">
        <v>44</v>
      </c>
    </row>
    <row r="132" spans="1:2" x14ac:dyDescent="0.35">
      <c r="A132" t="s">
        <v>177</v>
      </c>
      <c r="B132" s="10" t="s">
        <v>44</v>
      </c>
    </row>
    <row r="133" spans="1:2" x14ac:dyDescent="0.35">
      <c r="A133" t="s">
        <v>174</v>
      </c>
      <c r="B133" s="10" t="s">
        <v>44</v>
      </c>
    </row>
    <row r="134" spans="1:2" x14ac:dyDescent="0.35">
      <c r="A134" t="s">
        <v>23</v>
      </c>
      <c r="B134" s="10" t="s">
        <v>44</v>
      </c>
    </row>
    <row r="135" spans="1:2" x14ac:dyDescent="0.35">
      <c r="A135" t="s">
        <v>177</v>
      </c>
      <c r="B135" s="10" t="s">
        <v>46</v>
      </c>
    </row>
    <row r="136" spans="1:2" x14ac:dyDescent="0.35">
      <c r="A136" t="s">
        <v>180</v>
      </c>
      <c r="B136" s="10" t="s">
        <v>46</v>
      </c>
    </row>
    <row r="137" spans="1:2" x14ac:dyDescent="0.35">
      <c r="A137" t="s">
        <v>170</v>
      </c>
      <c r="B137" s="10" t="s">
        <v>42</v>
      </c>
    </row>
    <row r="138" spans="1:2" x14ac:dyDescent="0.35">
      <c r="A138" t="s">
        <v>176</v>
      </c>
      <c r="B138" s="10" t="s">
        <v>42</v>
      </c>
    </row>
    <row r="139" spans="1:2" x14ac:dyDescent="0.35">
      <c r="A139" t="s">
        <v>20</v>
      </c>
      <c r="B139" s="10" t="s">
        <v>42</v>
      </c>
    </row>
    <row r="140" spans="1:2" x14ac:dyDescent="0.35">
      <c r="A140" t="s">
        <v>175</v>
      </c>
      <c r="B140" s="10" t="s">
        <v>42</v>
      </c>
    </row>
    <row r="141" spans="1:2" x14ac:dyDescent="0.35">
      <c r="A141" t="s">
        <v>18</v>
      </c>
      <c r="B141" s="10" t="s">
        <v>42</v>
      </c>
    </row>
    <row r="142" spans="1:2" x14ac:dyDescent="0.35">
      <c r="A142" t="s">
        <v>178</v>
      </c>
      <c r="B142" s="10" t="s">
        <v>42</v>
      </c>
    </row>
    <row r="143" spans="1:2" x14ac:dyDescent="0.35">
      <c r="A143" t="s">
        <v>177</v>
      </c>
      <c r="B143" s="10" t="s">
        <v>42</v>
      </c>
    </row>
    <row r="144" spans="1:2" x14ac:dyDescent="0.35">
      <c r="A144" t="s">
        <v>174</v>
      </c>
      <c r="B144" s="10" t="s">
        <v>42</v>
      </c>
    </row>
    <row r="145" spans="1:2" x14ac:dyDescent="0.35">
      <c r="A145" t="s">
        <v>23</v>
      </c>
      <c r="B145" s="10" t="s">
        <v>42</v>
      </c>
    </row>
    <row r="146" spans="1:2" x14ac:dyDescent="0.35">
      <c r="A146" t="s">
        <v>170</v>
      </c>
      <c r="B146" t="s">
        <v>214</v>
      </c>
    </row>
    <row r="147" spans="1:2" x14ac:dyDescent="0.35">
      <c r="A147" t="s">
        <v>176</v>
      </c>
      <c r="B147" t="s">
        <v>214</v>
      </c>
    </row>
    <row r="148" spans="1:2" x14ac:dyDescent="0.35">
      <c r="A148" t="s">
        <v>20</v>
      </c>
      <c r="B148" t="s">
        <v>214</v>
      </c>
    </row>
    <row r="149" spans="1:2" x14ac:dyDescent="0.35">
      <c r="A149" t="s">
        <v>175</v>
      </c>
      <c r="B149" t="s">
        <v>214</v>
      </c>
    </row>
    <row r="150" spans="1:2" x14ac:dyDescent="0.35">
      <c r="A150" t="s">
        <v>18</v>
      </c>
      <c r="B150" t="s">
        <v>214</v>
      </c>
    </row>
    <row r="151" spans="1:2" x14ac:dyDescent="0.35">
      <c r="A151" t="s">
        <v>178</v>
      </c>
      <c r="B151" t="s">
        <v>214</v>
      </c>
    </row>
    <row r="152" spans="1:2" x14ac:dyDescent="0.35">
      <c r="A152" t="s">
        <v>23</v>
      </c>
      <c r="B152" t="s">
        <v>214</v>
      </c>
    </row>
    <row r="153" spans="1:2" x14ac:dyDescent="0.35">
      <c r="A153" t="s">
        <v>170</v>
      </c>
      <c r="B153" t="s">
        <v>216</v>
      </c>
    </row>
    <row r="154" spans="1:2" x14ac:dyDescent="0.35">
      <c r="A154" t="s">
        <v>176</v>
      </c>
      <c r="B154" t="s">
        <v>216</v>
      </c>
    </row>
    <row r="155" spans="1:2" x14ac:dyDescent="0.35">
      <c r="A155" t="s">
        <v>20</v>
      </c>
      <c r="B155" t="s">
        <v>216</v>
      </c>
    </row>
    <row r="156" spans="1:2" x14ac:dyDescent="0.35">
      <c r="A156" t="s">
        <v>175</v>
      </c>
      <c r="B156" t="s">
        <v>216</v>
      </c>
    </row>
    <row r="157" spans="1:2" x14ac:dyDescent="0.35">
      <c r="A157" t="s">
        <v>18</v>
      </c>
      <c r="B157" t="s">
        <v>216</v>
      </c>
    </row>
    <row r="158" spans="1:2" x14ac:dyDescent="0.35">
      <c r="A158" t="s">
        <v>178</v>
      </c>
      <c r="B158" t="s">
        <v>216</v>
      </c>
    </row>
    <row r="159" spans="1:2" x14ac:dyDescent="0.35">
      <c r="A159" t="s">
        <v>23</v>
      </c>
      <c r="B159" t="s">
        <v>216</v>
      </c>
    </row>
    <row r="160" spans="1:2" x14ac:dyDescent="0.35">
      <c r="A160" t="s">
        <v>170</v>
      </c>
      <c r="B160" t="s">
        <v>221</v>
      </c>
    </row>
    <row r="161" spans="1:2" x14ac:dyDescent="0.35">
      <c r="A161" t="s">
        <v>176</v>
      </c>
      <c r="B161" t="s">
        <v>221</v>
      </c>
    </row>
    <row r="162" spans="1:2" x14ac:dyDescent="0.35">
      <c r="A162" t="s">
        <v>20</v>
      </c>
      <c r="B162" t="s">
        <v>221</v>
      </c>
    </row>
    <row r="163" spans="1:2" x14ac:dyDescent="0.35">
      <c r="A163" t="s">
        <v>175</v>
      </c>
      <c r="B163" t="s">
        <v>221</v>
      </c>
    </row>
    <row r="164" spans="1:2" x14ac:dyDescent="0.35">
      <c r="A164" t="s">
        <v>19</v>
      </c>
      <c r="B164" t="s">
        <v>221</v>
      </c>
    </row>
    <row r="165" spans="1:2" x14ac:dyDescent="0.35">
      <c r="A165" t="s">
        <v>18</v>
      </c>
      <c r="B165" t="s">
        <v>221</v>
      </c>
    </row>
    <row r="166" spans="1:2" x14ac:dyDescent="0.35">
      <c r="A166" t="s">
        <v>178</v>
      </c>
      <c r="B166" t="s">
        <v>221</v>
      </c>
    </row>
    <row r="167" spans="1:2" x14ac:dyDescent="0.35">
      <c r="A167" t="s">
        <v>23</v>
      </c>
      <c r="B167" t="s">
        <v>221</v>
      </c>
    </row>
    <row r="168" spans="1:2" x14ac:dyDescent="0.35">
      <c r="A168" t="s">
        <v>170</v>
      </c>
      <c r="B168" t="s">
        <v>224</v>
      </c>
    </row>
    <row r="169" spans="1:2" x14ac:dyDescent="0.35">
      <c r="A169" t="s">
        <v>176</v>
      </c>
      <c r="B169" t="s">
        <v>224</v>
      </c>
    </row>
    <row r="170" spans="1:2" x14ac:dyDescent="0.35">
      <c r="A170" t="s">
        <v>175</v>
      </c>
      <c r="B170" t="s">
        <v>224</v>
      </c>
    </row>
    <row r="171" spans="1:2" x14ac:dyDescent="0.35">
      <c r="A171" t="s">
        <v>19</v>
      </c>
      <c r="B171" t="s">
        <v>224</v>
      </c>
    </row>
    <row r="172" spans="1:2" x14ac:dyDescent="0.35">
      <c r="A172" t="s">
        <v>177</v>
      </c>
      <c r="B172" t="s">
        <v>224</v>
      </c>
    </row>
    <row r="173" spans="1:2" x14ac:dyDescent="0.35">
      <c r="A173" t="s">
        <v>23</v>
      </c>
      <c r="B173" t="s">
        <v>224</v>
      </c>
    </row>
    <row r="174" spans="1:2" x14ac:dyDescent="0.35">
      <c r="A174" t="s">
        <v>170</v>
      </c>
      <c r="B174" t="s">
        <v>41</v>
      </c>
    </row>
    <row r="175" spans="1:2" x14ac:dyDescent="0.35">
      <c r="A175" t="s">
        <v>176</v>
      </c>
      <c r="B175" t="s">
        <v>41</v>
      </c>
    </row>
    <row r="176" spans="1:2" x14ac:dyDescent="0.35">
      <c r="A176" t="s">
        <v>175</v>
      </c>
      <c r="B176" t="s">
        <v>41</v>
      </c>
    </row>
    <row r="177" spans="1:11" x14ac:dyDescent="0.35">
      <c r="A177" t="s">
        <v>19</v>
      </c>
      <c r="B177" t="s">
        <v>41</v>
      </c>
    </row>
    <row r="178" spans="1:11" x14ac:dyDescent="0.35">
      <c r="A178" t="s">
        <v>178</v>
      </c>
      <c r="B178" t="s">
        <v>41</v>
      </c>
    </row>
    <row r="179" spans="1:11" x14ac:dyDescent="0.35">
      <c r="A179" t="s">
        <v>177</v>
      </c>
      <c r="B179" t="s">
        <v>41</v>
      </c>
    </row>
    <row r="180" spans="1:11" x14ac:dyDescent="0.35">
      <c r="A180" t="s">
        <v>23</v>
      </c>
      <c r="B180" t="s">
        <v>41</v>
      </c>
    </row>
    <row r="181" spans="1:11" x14ac:dyDescent="0.35">
      <c r="A181" t="s">
        <v>182</v>
      </c>
      <c r="B181" s="10" t="s">
        <v>230</v>
      </c>
      <c r="K181" s="10"/>
    </row>
    <row r="182" spans="1:11" x14ac:dyDescent="0.35">
      <c r="A182" t="s">
        <v>170</v>
      </c>
      <c r="B182" s="10" t="s">
        <v>230</v>
      </c>
    </row>
    <row r="183" spans="1:11" x14ac:dyDescent="0.35">
      <c r="A183" t="s">
        <v>176</v>
      </c>
      <c r="B183" s="10" t="s">
        <v>230</v>
      </c>
    </row>
    <row r="184" spans="1:11" x14ac:dyDescent="0.35">
      <c r="A184" t="s">
        <v>20</v>
      </c>
      <c r="B184" s="10" t="s">
        <v>230</v>
      </c>
    </row>
    <row r="185" spans="1:11" x14ac:dyDescent="0.35">
      <c r="A185" t="s">
        <v>175</v>
      </c>
      <c r="B185" s="10" t="s">
        <v>230</v>
      </c>
    </row>
    <row r="186" spans="1:11" x14ac:dyDescent="0.35">
      <c r="A186" t="s">
        <v>18</v>
      </c>
      <c r="B186" s="10" t="s">
        <v>230</v>
      </c>
    </row>
    <row r="187" spans="1:11" x14ac:dyDescent="0.35">
      <c r="A187" t="s">
        <v>178</v>
      </c>
      <c r="B187" s="10" t="s">
        <v>230</v>
      </c>
    </row>
    <row r="188" spans="1:11" x14ac:dyDescent="0.35">
      <c r="A188" t="s">
        <v>23</v>
      </c>
      <c r="B188" s="10" t="s">
        <v>230</v>
      </c>
    </row>
    <row r="189" spans="1:11" x14ac:dyDescent="0.35">
      <c r="A189" t="s">
        <v>170</v>
      </c>
      <c r="B189" t="s">
        <v>215</v>
      </c>
    </row>
    <row r="190" spans="1:11" x14ac:dyDescent="0.35">
      <c r="A190" t="s">
        <v>176</v>
      </c>
      <c r="B190" t="s">
        <v>215</v>
      </c>
    </row>
    <row r="191" spans="1:11" x14ac:dyDescent="0.35">
      <c r="A191" t="s">
        <v>20</v>
      </c>
      <c r="B191" t="s">
        <v>215</v>
      </c>
    </row>
    <row r="192" spans="1:11" x14ac:dyDescent="0.35">
      <c r="A192" t="s">
        <v>175</v>
      </c>
      <c r="B192" t="s">
        <v>215</v>
      </c>
    </row>
    <row r="193" spans="1:11" x14ac:dyDescent="0.35">
      <c r="A193" t="s">
        <v>18</v>
      </c>
      <c r="B193" t="s">
        <v>215</v>
      </c>
    </row>
    <row r="194" spans="1:11" x14ac:dyDescent="0.35">
      <c r="A194" t="s">
        <v>178</v>
      </c>
      <c r="B194" t="s">
        <v>215</v>
      </c>
    </row>
    <row r="195" spans="1:11" x14ac:dyDescent="0.35">
      <c r="A195" t="s">
        <v>23</v>
      </c>
      <c r="B195" t="s">
        <v>215</v>
      </c>
    </row>
    <row r="196" spans="1:11" x14ac:dyDescent="0.35">
      <c r="A196" t="s">
        <v>182</v>
      </c>
      <c r="B196" s="10" t="s">
        <v>243</v>
      </c>
      <c r="K196" s="10"/>
    </row>
    <row r="197" spans="1:11" x14ac:dyDescent="0.35">
      <c r="A197" t="s">
        <v>170</v>
      </c>
      <c r="B197" s="10" t="s">
        <v>243</v>
      </c>
    </row>
    <row r="198" spans="1:11" x14ac:dyDescent="0.35">
      <c r="A198" t="s">
        <v>176</v>
      </c>
      <c r="B198" s="10" t="s">
        <v>243</v>
      </c>
    </row>
    <row r="199" spans="1:11" x14ac:dyDescent="0.35">
      <c r="A199" t="s">
        <v>20</v>
      </c>
      <c r="B199" s="10" t="s">
        <v>243</v>
      </c>
    </row>
    <row r="200" spans="1:11" x14ac:dyDescent="0.35">
      <c r="A200" t="s">
        <v>175</v>
      </c>
      <c r="B200" s="10" t="s">
        <v>243</v>
      </c>
    </row>
    <row r="201" spans="1:11" x14ac:dyDescent="0.35">
      <c r="A201" t="s">
        <v>19</v>
      </c>
      <c r="B201" s="10" t="s">
        <v>243</v>
      </c>
    </row>
    <row r="202" spans="1:11" x14ac:dyDescent="0.35">
      <c r="A202" t="s">
        <v>178</v>
      </c>
      <c r="B202" s="10" t="s">
        <v>243</v>
      </c>
    </row>
    <row r="203" spans="1:11" x14ac:dyDescent="0.35">
      <c r="A203" t="s">
        <v>177</v>
      </c>
      <c r="B203" s="10" t="s">
        <v>243</v>
      </c>
    </row>
    <row r="204" spans="1:11" x14ac:dyDescent="0.35">
      <c r="A204" t="s">
        <v>182</v>
      </c>
      <c r="B204" s="10" t="s">
        <v>234</v>
      </c>
      <c r="K204" s="10"/>
    </row>
    <row r="205" spans="1:11" x14ac:dyDescent="0.35">
      <c r="A205" t="s">
        <v>170</v>
      </c>
      <c r="B205" s="10" t="s">
        <v>234</v>
      </c>
    </row>
    <row r="206" spans="1:11" x14ac:dyDescent="0.35">
      <c r="A206" t="s">
        <v>176</v>
      </c>
      <c r="B206" s="10" t="s">
        <v>234</v>
      </c>
    </row>
    <row r="207" spans="1:11" x14ac:dyDescent="0.35">
      <c r="A207" t="s">
        <v>20</v>
      </c>
      <c r="B207" s="10" t="s">
        <v>234</v>
      </c>
    </row>
    <row r="208" spans="1:11" x14ac:dyDescent="0.35">
      <c r="A208" t="s">
        <v>175</v>
      </c>
      <c r="B208" s="10" t="s">
        <v>234</v>
      </c>
    </row>
    <row r="209" spans="1:11" x14ac:dyDescent="0.35">
      <c r="A209" t="s">
        <v>19</v>
      </c>
      <c r="B209" s="10" t="s">
        <v>234</v>
      </c>
    </row>
    <row r="210" spans="1:11" x14ac:dyDescent="0.35">
      <c r="A210" t="s">
        <v>178</v>
      </c>
      <c r="B210" s="10" t="s">
        <v>234</v>
      </c>
    </row>
    <row r="211" spans="1:11" x14ac:dyDescent="0.35">
      <c r="A211" t="s">
        <v>177</v>
      </c>
      <c r="B211" s="10" t="s">
        <v>234</v>
      </c>
    </row>
    <row r="212" spans="1:11" x14ac:dyDescent="0.35">
      <c r="A212" t="s">
        <v>182</v>
      </c>
      <c r="B212" s="10" t="s">
        <v>236</v>
      </c>
      <c r="K212" s="10"/>
    </row>
    <row r="213" spans="1:11" x14ac:dyDescent="0.35">
      <c r="A213" t="s">
        <v>170</v>
      </c>
      <c r="B213" s="10" t="s">
        <v>236</v>
      </c>
    </row>
    <row r="214" spans="1:11" x14ac:dyDescent="0.35">
      <c r="A214" t="s">
        <v>176</v>
      </c>
      <c r="B214" s="10" t="s">
        <v>236</v>
      </c>
    </row>
    <row r="215" spans="1:11" x14ac:dyDescent="0.35">
      <c r="A215" t="s">
        <v>20</v>
      </c>
      <c r="B215" s="10" t="s">
        <v>236</v>
      </c>
    </row>
    <row r="216" spans="1:11" x14ac:dyDescent="0.35">
      <c r="A216" t="s">
        <v>175</v>
      </c>
      <c r="B216" s="10" t="s">
        <v>236</v>
      </c>
    </row>
    <row r="217" spans="1:11" x14ac:dyDescent="0.35">
      <c r="A217" t="s">
        <v>19</v>
      </c>
      <c r="B217" s="10" t="s">
        <v>236</v>
      </c>
    </row>
    <row r="218" spans="1:11" x14ac:dyDescent="0.35">
      <c r="A218" t="s">
        <v>178</v>
      </c>
      <c r="B218" s="10" t="s">
        <v>236</v>
      </c>
    </row>
    <row r="219" spans="1:11" x14ac:dyDescent="0.35">
      <c r="A219" t="s">
        <v>177</v>
      </c>
      <c r="B219" s="10" t="s">
        <v>236</v>
      </c>
    </row>
    <row r="220" spans="1:11" x14ac:dyDescent="0.35">
      <c r="A220" t="s">
        <v>182</v>
      </c>
      <c r="B220" s="10" t="s">
        <v>237</v>
      </c>
      <c r="K220" s="10"/>
    </row>
    <row r="221" spans="1:11" x14ac:dyDescent="0.35">
      <c r="A221" t="s">
        <v>170</v>
      </c>
      <c r="B221" s="10" t="s">
        <v>237</v>
      </c>
    </row>
    <row r="222" spans="1:11" x14ac:dyDescent="0.35">
      <c r="A222" t="s">
        <v>176</v>
      </c>
      <c r="B222" s="10" t="s">
        <v>237</v>
      </c>
    </row>
    <row r="223" spans="1:11" x14ac:dyDescent="0.35">
      <c r="A223" t="s">
        <v>20</v>
      </c>
      <c r="B223" s="10" t="s">
        <v>237</v>
      </c>
    </row>
    <row r="224" spans="1:11" x14ac:dyDescent="0.35">
      <c r="A224" t="s">
        <v>175</v>
      </c>
      <c r="B224" s="10" t="s">
        <v>237</v>
      </c>
    </row>
    <row r="225" spans="1:11" x14ac:dyDescent="0.35">
      <c r="A225" t="s">
        <v>19</v>
      </c>
      <c r="B225" s="10" t="s">
        <v>237</v>
      </c>
    </row>
    <row r="226" spans="1:11" x14ac:dyDescent="0.35">
      <c r="A226" t="s">
        <v>178</v>
      </c>
      <c r="B226" s="10" t="s">
        <v>237</v>
      </c>
    </row>
    <row r="227" spans="1:11" x14ac:dyDescent="0.35">
      <c r="A227" t="s">
        <v>177</v>
      </c>
      <c r="B227" s="10" t="s">
        <v>237</v>
      </c>
    </row>
    <row r="228" spans="1:11" x14ac:dyDescent="0.35">
      <c r="A228" t="s">
        <v>182</v>
      </c>
      <c r="B228" s="10" t="s">
        <v>240</v>
      </c>
      <c r="K228" s="10"/>
    </row>
    <row r="229" spans="1:11" x14ac:dyDescent="0.35">
      <c r="A229" t="s">
        <v>170</v>
      </c>
      <c r="B229" s="10" t="s">
        <v>240</v>
      </c>
    </row>
    <row r="230" spans="1:11" x14ac:dyDescent="0.35">
      <c r="A230" t="s">
        <v>176</v>
      </c>
      <c r="B230" s="10" t="s">
        <v>240</v>
      </c>
    </row>
    <row r="231" spans="1:11" x14ac:dyDescent="0.35">
      <c r="A231" t="s">
        <v>20</v>
      </c>
      <c r="B231" s="10" t="s">
        <v>240</v>
      </c>
    </row>
    <row r="232" spans="1:11" x14ac:dyDescent="0.35">
      <c r="A232" t="s">
        <v>175</v>
      </c>
      <c r="B232" s="10" t="s">
        <v>240</v>
      </c>
    </row>
    <row r="233" spans="1:11" x14ac:dyDescent="0.35">
      <c r="A233" t="s">
        <v>19</v>
      </c>
      <c r="B233" s="10" t="s">
        <v>240</v>
      </c>
    </row>
    <row r="234" spans="1:11" x14ac:dyDescent="0.35">
      <c r="A234" t="s">
        <v>178</v>
      </c>
      <c r="B234" s="10" t="s">
        <v>240</v>
      </c>
    </row>
    <row r="235" spans="1:11" x14ac:dyDescent="0.35">
      <c r="A235" t="s">
        <v>177</v>
      </c>
      <c r="B235" s="10" t="s">
        <v>240</v>
      </c>
    </row>
    <row r="236" spans="1:11" x14ac:dyDescent="0.35">
      <c r="A236" t="s">
        <v>170</v>
      </c>
      <c r="B236" t="s">
        <v>217</v>
      </c>
    </row>
    <row r="237" spans="1:11" x14ac:dyDescent="0.35">
      <c r="A237" t="s">
        <v>176</v>
      </c>
      <c r="B237" t="s">
        <v>217</v>
      </c>
    </row>
    <row r="238" spans="1:11" x14ac:dyDescent="0.35">
      <c r="A238" t="s">
        <v>20</v>
      </c>
      <c r="B238" t="s">
        <v>217</v>
      </c>
    </row>
    <row r="239" spans="1:11" x14ac:dyDescent="0.35">
      <c r="A239" t="s">
        <v>175</v>
      </c>
      <c r="B239" t="s">
        <v>217</v>
      </c>
    </row>
    <row r="240" spans="1:11" x14ac:dyDescent="0.35">
      <c r="A240" t="s">
        <v>18</v>
      </c>
      <c r="B240" t="s">
        <v>217</v>
      </c>
    </row>
    <row r="241" spans="1:2" x14ac:dyDescent="0.35">
      <c r="A241" t="s">
        <v>178</v>
      </c>
      <c r="B241" t="s">
        <v>217</v>
      </c>
    </row>
    <row r="242" spans="1:2" x14ac:dyDescent="0.35">
      <c r="A242" t="s">
        <v>23</v>
      </c>
      <c r="B242" t="s">
        <v>217</v>
      </c>
    </row>
    <row r="243" spans="1:2" x14ac:dyDescent="0.35">
      <c r="A243" t="s">
        <v>170</v>
      </c>
      <c r="B243" s="10" t="s">
        <v>231</v>
      </c>
    </row>
    <row r="244" spans="1:2" x14ac:dyDescent="0.35">
      <c r="A244" t="s">
        <v>176</v>
      </c>
      <c r="B244" s="10" t="s">
        <v>231</v>
      </c>
    </row>
    <row r="245" spans="1:2" x14ac:dyDescent="0.35">
      <c r="A245" t="s">
        <v>20</v>
      </c>
      <c r="B245" s="10" t="s">
        <v>231</v>
      </c>
    </row>
    <row r="246" spans="1:2" x14ac:dyDescent="0.35">
      <c r="A246" t="s">
        <v>18</v>
      </c>
      <c r="B246" s="10" t="s">
        <v>231</v>
      </c>
    </row>
    <row r="247" spans="1:2" x14ac:dyDescent="0.35">
      <c r="A247" t="s">
        <v>178</v>
      </c>
      <c r="B247" s="10" t="s">
        <v>231</v>
      </c>
    </row>
    <row r="248" spans="1:2" x14ac:dyDescent="0.35">
      <c r="A248" t="s">
        <v>23</v>
      </c>
      <c r="B248" s="10" t="s">
        <v>231</v>
      </c>
    </row>
    <row r="249" spans="1:2" x14ac:dyDescent="0.35">
      <c r="A249" t="s">
        <v>176</v>
      </c>
      <c r="B249" t="s">
        <v>220</v>
      </c>
    </row>
    <row r="250" spans="1:2" x14ac:dyDescent="0.35">
      <c r="A250" t="s">
        <v>20</v>
      </c>
      <c r="B250" t="s">
        <v>220</v>
      </c>
    </row>
    <row r="251" spans="1:2" x14ac:dyDescent="0.35">
      <c r="A251" t="s">
        <v>19</v>
      </c>
      <c r="B251" t="s">
        <v>220</v>
      </c>
    </row>
    <row r="252" spans="1:2" x14ac:dyDescent="0.35">
      <c r="A252" t="s">
        <v>178</v>
      </c>
      <c r="B252" t="s">
        <v>220</v>
      </c>
    </row>
    <row r="253" spans="1:2" x14ac:dyDescent="0.35">
      <c r="A253" t="s">
        <v>23</v>
      </c>
      <c r="B253" t="s">
        <v>220</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2D1B-988D-4CDF-99EB-071CF1057D8B}">
  <sheetPr codeName="Tabelle11"/>
  <dimension ref="A1:B456"/>
  <sheetViews>
    <sheetView workbookViewId="0">
      <selection activeCell="A34" sqref="A34"/>
    </sheetView>
  </sheetViews>
  <sheetFormatPr baseColWidth="10" defaultRowHeight="14.5" x14ac:dyDescent="0.35"/>
  <cols>
    <col min="1" max="1" width="62.453125" bestFit="1" customWidth="1"/>
    <col min="2" max="2" width="34.54296875" bestFit="1" customWidth="1"/>
    <col min="6" max="6" width="34.54296875" bestFit="1" customWidth="1"/>
  </cols>
  <sheetData>
    <row r="1" spans="1:2" ht="16" x14ac:dyDescent="0.4">
      <c r="A1" s="20" t="s">
        <v>353</v>
      </c>
      <c r="B1" s="20" t="s">
        <v>345</v>
      </c>
    </row>
    <row r="2" spans="1:2" x14ac:dyDescent="0.35">
      <c r="A2" t="s">
        <v>14</v>
      </c>
      <c r="B2" t="s">
        <v>194</v>
      </c>
    </row>
    <row r="3" spans="1:2" x14ac:dyDescent="0.35">
      <c r="A3" t="s">
        <v>14</v>
      </c>
      <c r="B3" t="s">
        <v>195</v>
      </c>
    </row>
    <row r="4" spans="1:2" x14ac:dyDescent="0.35">
      <c r="A4" t="s">
        <v>14</v>
      </c>
      <c r="B4" t="s">
        <v>196</v>
      </c>
    </row>
    <row r="5" spans="1:2" x14ac:dyDescent="0.35">
      <c r="A5" t="s">
        <v>14</v>
      </c>
      <c r="B5" t="s">
        <v>197</v>
      </c>
    </row>
    <row r="6" spans="1:2" x14ac:dyDescent="0.35">
      <c r="A6" t="s">
        <v>14</v>
      </c>
      <c r="B6" t="s">
        <v>198</v>
      </c>
    </row>
    <row r="7" spans="1:2" x14ac:dyDescent="0.35">
      <c r="A7" t="s">
        <v>14</v>
      </c>
      <c r="B7" t="s">
        <v>199</v>
      </c>
    </row>
    <row r="8" spans="1:2" x14ac:dyDescent="0.35">
      <c r="A8" t="s">
        <v>14</v>
      </c>
      <c r="B8" t="s">
        <v>187</v>
      </c>
    </row>
    <row r="9" spans="1:2" x14ac:dyDescent="0.35">
      <c r="A9" t="s">
        <v>14</v>
      </c>
      <c r="B9" t="s">
        <v>188</v>
      </c>
    </row>
    <row r="10" spans="1:2" x14ac:dyDescent="0.35">
      <c r="A10" t="s">
        <v>14</v>
      </c>
      <c r="B10" t="s">
        <v>189</v>
      </c>
    </row>
    <row r="11" spans="1:2" x14ac:dyDescent="0.35">
      <c r="A11" t="s">
        <v>14</v>
      </c>
      <c r="B11" t="s">
        <v>190</v>
      </c>
    </row>
    <row r="12" spans="1:2" x14ac:dyDescent="0.35">
      <c r="A12" t="s">
        <v>14</v>
      </c>
      <c r="B12" t="s">
        <v>191</v>
      </c>
    </row>
    <row r="13" spans="1:2" x14ac:dyDescent="0.35">
      <c r="A13" t="s">
        <v>14</v>
      </c>
      <c r="B13" t="s">
        <v>192</v>
      </c>
    </row>
    <row r="14" spans="1:2" x14ac:dyDescent="0.35">
      <c r="A14" t="s">
        <v>14</v>
      </c>
      <c r="B14" t="s">
        <v>163</v>
      </c>
    </row>
    <row r="15" spans="1:2" x14ac:dyDescent="0.35">
      <c r="A15" t="s">
        <v>14</v>
      </c>
      <c r="B15" t="s">
        <v>193</v>
      </c>
    </row>
    <row r="16" spans="1:2" x14ac:dyDescent="0.35">
      <c r="A16" t="s">
        <v>14</v>
      </c>
      <c r="B16" t="s">
        <v>201</v>
      </c>
    </row>
    <row r="17" spans="1:2" x14ac:dyDescent="0.35">
      <c r="A17" t="s">
        <v>14</v>
      </c>
      <c r="B17" t="s">
        <v>202</v>
      </c>
    </row>
    <row r="18" spans="1:2" x14ac:dyDescent="0.35">
      <c r="A18" t="s">
        <v>14</v>
      </c>
      <c r="B18" t="s">
        <v>203</v>
      </c>
    </row>
    <row r="19" spans="1:2" x14ac:dyDescent="0.35">
      <c r="A19" t="s">
        <v>14</v>
      </c>
      <c r="B19" t="s">
        <v>164</v>
      </c>
    </row>
    <row r="20" spans="1:2" x14ac:dyDescent="0.35">
      <c r="A20" t="s">
        <v>14</v>
      </c>
      <c r="B20" t="s">
        <v>200</v>
      </c>
    </row>
    <row r="21" spans="1:2" x14ac:dyDescent="0.35">
      <c r="A21" t="s">
        <v>212</v>
      </c>
      <c r="B21" t="s">
        <v>186</v>
      </c>
    </row>
    <row r="22" spans="1:2" x14ac:dyDescent="0.35">
      <c r="A22" t="s">
        <v>212</v>
      </c>
      <c r="B22" t="s">
        <v>184</v>
      </c>
    </row>
    <row r="23" spans="1:2" x14ac:dyDescent="0.35">
      <c r="A23" t="s">
        <v>212</v>
      </c>
      <c r="B23" t="s">
        <v>194</v>
      </c>
    </row>
    <row r="24" spans="1:2" x14ac:dyDescent="0.35">
      <c r="A24" t="s">
        <v>212</v>
      </c>
      <c r="B24" t="s">
        <v>195</v>
      </c>
    </row>
    <row r="25" spans="1:2" x14ac:dyDescent="0.35">
      <c r="A25" t="s">
        <v>212</v>
      </c>
      <c r="B25" t="s">
        <v>196</v>
      </c>
    </row>
    <row r="26" spans="1:2" x14ac:dyDescent="0.35">
      <c r="A26" t="s">
        <v>212</v>
      </c>
      <c r="B26" t="s">
        <v>197</v>
      </c>
    </row>
    <row r="27" spans="1:2" x14ac:dyDescent="0.35">
      <c r="A27" t="s">
        <v>212</v>
      </c>
      <c r="B27" t="s">
        <v>198</v>
      </c>
    </row>
    <row r="28" spans="1:2" x14ac:dyDescent="0.35">
      <c r="A28" t="s">
        <v>212</v>
      </c>
      <c r="B28" t="s">
        <v>199</v>
      </c>
    </row>
    <row r="29" spans="1:2" x14ac:dyDescent="0.35">
      <c r="A29" t="s">
        <v>212</v>
      </c>
      <c r="B29" t="s">
        <v>185</v>
      </c>
    </row>
    <row r="30" spans="1:2" x14ac:dyDescent="0.35">
      <c r="A30" t="s">
        <v>212</v>
      </c>
      <c r="B30" t="s">
        <v>187</v>
      </c>
    </row>
    <row r="31" spans="1:2" x14ac:dyDescent="0.35">
      <c r="A31" t="s">
        <v>212</v>
      </c>
      <c r="B31" t="s">
        <v>188</v>
      </c>
    </row>
    <row r="32" spans="1:2" x14ac:dyDescent="0.35">
      <c r="A32" t="s">
        <v>212</v>
      </c>
      <c r="B32" t="s">
        <v>189</v>
      </c>
    </row>
    <row r="33" spans="1:2" x14ac:dyDescent="0.35">
      <c r="A33" t="s">
        <v>212</v>
      </c>
      <c r="B33" t="s">
        <v>190</v>
      </c>
    </row>
    <row r="34" spans="1:2" x14ac:dyDescent="0.35">
      <c r="A34" t="s">
        <v>212</v>
      </c>
      <c r="B34" t="s">
        <v>191</v>
      </c>
    </row>
    <row r="35" spans="1:2" x14ac:dyDescent="0.35">
      <c r="A35" t="s">
        <v>212</v>
      </c>
      <c r="B35" t="s">
        <v>192</v>
      </c>
    </row>
    <row r="36" spans="1:2" x14ac:dyDescent="0.35">
      <c r="A36" t="s">
        <v>212</v>
      </c>
      <c r="B36" t="s">
        <v>163</v>
      </c>
    </row>
    <row r="37" spans="1:2" x14ac:dyDescent="0.35">
      <c r="A37" t="s">
        <v>212</v>
      </c>
      <c r="B37" t="s">
        <v>193</v>
      </c>
    </row>
    <row r="38" spans="1:2" x14ac:dyDescent="0.35">
      <c r="A38" t="s">
        <v>212</v>
      </c>
      <c r="B38" t="s">
        <v>201</v>
      </c>
    </row>
    <row r="39" spans="1:2" x14ac:dyDescent="0.35">
      <c r="A39" t="s">
        <v>212</v>
      </c>
      <c r="B39" t="s">
        <v>202</v>
      </c>
    </row>
    <row r="40" spans="1:2" x14ac:dyDescent="0.35">
      <c r="A40" t="s">
        <v>212</v>
      </c>
      <c r="B40" t="s">
        <v>203</v>
      </c>
    </row>
    <row r="41" spans="1:2" x14ac:dyDescent="0.35">
      <c r="A41" t="s">
        <v>212</v>
      </c>
      <c r="B41" t="s">
        <v>164</v>
      </c>
    </row>
    <row r="42" spans="1:2" x14ac:dyDescent="0.35">
      <c r="A42" t="s">
        <v>212</v>
      </c>
      <c r="B42" t="s">
        <v>200</v>
      </c>
    </row>
    <row r="43" spans="1:2" x14ac:dyDescent="0.35">
      <c r="A43" t="s">
        <v>213</v>
      </c>
      <c r="B43" t="s">
        <v>184</v>
      </c>
    </row>
    <row r="44" spans="1:2" x14ac:dyDescent="0.35">
      <c r="A44" t="s">
        <v>213</v>
      </c>
      <c r="B44" t="s">
        <v>194</v>
      </c>
    </row>
    <row r="45" spans="1:2" x14ac:dyDescent="0.35">
      <c r="A45" t="s">
        <v>213</v>
      </c>
      <c r="B45" t="s">
        <v>195</v>
      </c>
    </row>
    <row r="46" spans="1:2" x14ac:dyDescent="0.35">
      <c r="A46" t="s">
        <v>213</v>
      </c>
      <c r="B46" t="s">
        <v>196</v>
      </c>
    </row>
    <row r="47" spans="1:2" x14ac:dyDescent="0.35">
      <c r="A47" t="s">
        <v>213</v>
      </c>
      <c r="B47" t="s">
        <v>197</v>
      </c>
    </row>
    <row r="48" spans="1:2" x14ac:dyDescent="0.35">
      <c r="A48" t="s">
        <v>213</v>
      </c>
      <c r="B48" t="s">
        <v>198</v>
      </c>
    </row>
    <row r="49" spans="1:2" x14ac:dyDescent="0.35">
      <c r="A49" t="s">
        <v>213</v>
      </c>
      <c r="B49" t="s">
        <v>199</v>
      </c>
    </row>
    <row r="50" spans="1:2" x14ac:dyDescent="0.35">
      <c r="A50" t="s">
        <v>214</v>
      </c>
      <c r="B50" t="s">
        <v>185</v>
      </c>
    </row>
    <row r="51" spans="1:2" x14ac:dyDescent="0.35">
      <c r="A51" t="s">
        <v>214</v>
      </c>
      <c r="B51" t="s">
        <v>187</v>
      </c>
    </row>
    <row r="52" spans="1:2" x14ac:dyDescent="0.35">
      <c r="A52" t="s">
        <v>214</v>
      </c>
      <c r="B52" t="s">
        <v>188</v>
      </c>
    </row>
    <row r="53" spans="1:2" x14ac:dyDescent="0.35">
      <c r="A53" t="s">
        <v>214</v>
      </c>
      <c r="B53" t="s">
        <v>189</v>
      </c>
    </row>
    <row r="54" spans="1:2" x14ac:dyDescent="0.35">
      <c r="A54" t="s">
        <v>214</v>
      </c>
      <c r="B54" t="s">
        <v>190</v>
      </c>
    </row>
    <row r="55" spans="1:2" x14ac:dyDescent="0.35">
      <c r="A55" t="s">
        <v>214</v>
      </c>
      <c r="B55" t="s">
        <v>191</v>
      </c>
    </row>
    <row r="56" spans="1:2" x14ac:dyDescent="0.35">
      <c r="A56" t="s">
        <v>214</v>
      </c>
      <c r="B56" t="s">
        <v>192</v>
      </c>
    </row>
    <row r="57" spans="1:2" x14ac:dyDescent="0.35">
      <c r="A57" t="s">
        <v>215</v>
      </c>
      <c r="B57" t="s">
        <v>163</v>
      </c>
    </row>
    <row r="58" spans="1:2" x14ac:dyDescent="0.35">
      <c r="A58" t="s">
        <v>216</v>
      </c>
      <c r="B58" t="s">
        <v>193</v>
      </c>
    </row>
    <row r="59" spans="1:2" x14ac:dyDescent="0.35">
      <c r="A59" t="s">
        <v>217</v>
      </c>
      <c r="B59" t="s">
        <v>201</v>
      </c>
    </row>
    <row r="60" spans="1:2" x14ac:dyDescent="0.35">
      <c r="A60" t="s">
        <v>217</v>
      </c>
      <c r="B60" t="s">
        <v>202</v>
      </c>
    </row>
    <row r="61" spans="1:2" x14ac:dyDescent="0.35">
      <c r="A61" t="s">
        <v>217</v>
      </c>
      <c r="B61" t="s">
        <v>203</v>
      </c>
    </row>
    <row r="62" spans="1:2" x14ac:dyDescent="0.35">
      <c r="A62" t="s">
        <v>51</v>
      </c>
      <c r="B62" t="s">
        <v>204</v>
      </c>
    </row>
    <row r="63" spans="1:2" x14ac:dyDescent="0.35">
      <c r="A63" t="s">
        <v>51</v>
      </c>
      <c r="B63" t="s">
        <v>205</v>
      </c>
    </row>
    <row r="64" spans="1:2" x14ac:dyDescent="0.35">
      <c r="A64" t="s">
        <v>51</v>
      </c>
      <c r="B64" t="s">
        <v>206</v>
      </c>
    </row>
    <row r="65" spans="1:2" x14ac:dyDescent="0.35">
      <c r="A65" t="s">
        <v>51</v>
      </c>
      <c r="B65" t="s">
        <v>207</v>
      </c>
    </row>
    <row r="66" spans="1:2" x14ac:dyDescent="0.35">
      <c r="A66" t="s">
        <v>51</v>
      </c>
      <c r="B66" t="s">
        <v>208</v>
      </c>
    </row>
    <row r="67" spans="1:2" x14ac:dyDescent="0.35">
      <c r="A67" t="s">
        <v>51</v>
      </c>
      <c r="B67" t="s">
        <v>209</v>
      </c>
    </row>
    <row r="68" spans="1:2" x14ac:dyDescent="0.35">
      <c r="A68" t="s">
        <v>51</v>
      </c>
      <c r="B68" t="s">
        <v>210</v>
      </c>
    </row>
    <row r="69" spans="1:2" x14ac:dyDescent="0.35">
      <c r="A69" t="s">
        <v>51</v>
      </c>
      <c r="B69" t="s">
        <v>211</v>
      </c>
    </row>
    <row r="70" spans="1:2" x14ac:dyDescent="0.35">
      <c r="A70" t="s">
        <v>218</v>
      </c>
      <c r="B70" t="s">
        <v>205</v>
      </c>
    </row>
    <row r="71" spans="1:2" x14ac:dyDescent="0.35">
      <c r="A71" t="s">
        <v>218</v>
      </c>
      <c r="B71" t="s">
        <v>206</v>
      </c>
    </row>
    <row r="72" spans="1:2" x14ac:dyDescent="0.35">
      <c r="A72" t="s">
        <v>218</v>
      </c>
      <c r="B72" t="s">
        <v>207</v>
      </c>
    </row>
    <row r="73" spans="1:2" x14ac:dyDescent="0.35">
      <c r="A73" t="s">
        <v>218</v>
      </c>
      <c r="B73" t="s">
        <v>208</v>
      </c>
    </row>
    <row r="74" spans="1:2" x14ac:dyDescent="0.35">
      <c r="A74" t="s">
        <v>218</v>
      </c>
      <c r="B74" t="s">
        <v>209</v>
      </c>
    </row>
    <row r="75" spans="1:2" x14ac:dyDescent="0.35">
      <c r="A75" t="s">
        <v>218</v>
      </c>
      <c r="B75" t="s">
        <v>210</v>
      </c>
    </row>
    <row r="76" spans="1:2" x14ac:dyDescent="0.35">
      <c r="A76" t="s">
        <v>218</v>
      </c>
      <c r="B76" t="s">
        <v>211</v>
      </c>
    </row>
    <row r="77" spans="1:2" x14ac:dyDescent="0.35">
      <c r="A77" t="s">
        <v>15</v>
      </c>
      <c r="B77" t="s">
        <v>194</v>
      </c>
    </row>
    <row r="78" spans="1:2" x14ac:dyDescent="0.35">
      <c r="A78" t="s">
        <v>15</v>
      </c>
      <c r="B78" t="s">
        <v>195</v>
      </c>
    </row>
    <row r="79" spans="1:2" x14ac:dyDescent="0.35">
      <c r="A79" t="s">
        <v>15</v>
      </c>
      <c r="B79" t="s">
        <v>196</v>
      </c>
    </row>
    <row r="80" spans="1:2" x14ac:dyDescent="0.35">
      <c r="A80" t="s">
        <v>15</v>
      </c>
      <c r="B80" t="s">
        <v>197</v>
      </c>
    </row>
    <row r="81" spans="1:2" x14ac:dyDescent="0.35">
      <c r="A81" t="s">
        <v>15</v>
      </c>
      <c r="B81" t="s">
        <v>198</v>
      </c>
    </row>
    <row r="82" spans="1:2" x14ac:dyDescent="0.35">
      <c r="A82" t="s">
        <v>15</v>
      </c>
      <c r="B82" t="s">
        <v>199</v>
      </c>
    </row>
    <row r="83" spans="1:2" x14ac:dyDescent="0.35">
      <c r="A83" t="s">
        <v>15</v>
      </c>
      <c r="B83" t="s">
        <v>187</v>
      </c>
    </row>
    <row r="84" spans="1:2" x14ac:dyDescent="0.35">
      <c r="A84" t="s">
        <v>15</v>
      </c>
      <c r="B84" t="s">
        <v>188</v>
      </c>
    </row>
    <row r="85" spans="1:2" x14ac:dyDescent="0.35">
      <c r="A85" t="s">
        <v>15</v>
      </c>
      <c r="B85" t="s">
        <v>189</v>
      </c>
    </row>
    <row r="86" spans="1:2" x14ac:dyDescent="0.35">
      <c r="A86" t="s">
        <v>15</v>
      </c>
      <c r="B86" t="s">
        <v>190</v>
      </c>
    </row>
    <row r="87" spans="1:2" x14ac:dyDescent="0.35">
      <c r="A87" t="s">
        <v>15</v>
      </c>
      <c r="B87" t="s">
        <v>191</v>
      </c>
    </row>
    <row r="88" spans="1:2" x14ac:dyDescent="0.35">
      <c r="A88" t="s">
        <v>15</v>
      </c>
      <c r="B88" t="s">
        <v>192</v>
      </c>
    </row>
    <row r="89" spans="1:2" x14ac:dyDescent="0.35">
      <c r="A89" t="s">
        <v>15</v>
      </c>
      <c r="B89" t="s">
        <v>163</v>
      </c>
    </row>
    <row r="90" spans="1:2" x14ac:dyDescent="0.35">
      <c r="A90" t="s">
        <v>15</v>
      </c>
      <c r="B90" t="s">
        <v>193</v>
      </c>
    </row>
    <row r="91" spans="1:2" x14ac:dyDescent="0.35">
      <c r="A91" t="s">
        <v>15</v>
      </c>
      <c r="B91" t="s">
        <v>201</v>
      </c>
    </row>
    <row r="92" spans="1:2" x14ac:dyDescent="0.35">
      <c r="A92" t="s">
        <v>15</v>
      </c>
      <c r="B92" t="s">
        <v>202</v>
      </c>
    </row>
    <row r="93" spans="1:2" x14ac:dyDescent="0.35">
      <c r="A93" t="s">
        <v>15</v>
      </c>
      <c r="B93" t="s">
        <v>203</v>
      </c>
    </row>
    <row r="94" spans="1:2" x14ac:dyDescent="0.35">
      <c r="A94" t="s">
        <v>15</v>
      </c>
      <c r="B94" t="s">
        <v>164</v>
      </c>
    </row>
    <row r="95" spans="1:2" x14ac:dyDescent="0.35">
      <c r="A95" t="s">
        <v>15</v>
      </c>
      <c r="B95" t="s">
        <v>200</v>
      </c>
    </row>
    <row r="96" spans="1:2" x14ac:dyDescent="0.35">
      <c r="A96" t="s">
        <v>219</v>
      </c>
      <c r="B96" t="s">
        <v>194</v>
      </c>
    </row>
    <row r="97" spans="1:2" x14ac:dyDescent="0.35">
      <c r="A97" t="s">
        <v>219</v>
      </c>
      <c r="B97" t="s">
        <v>195</v>
      </c>
    </row>
    <row r="98" spans="1:2" x14ac:dyDescent="0.35">
      <c r="A98" t="s">
        <v>219</v>
      </c>
      <c r="B98" t="s">
        <v>196</v>
      </c>
    </row>
    <row r="99" spans="1:2" x14ac:dyDescent="0.35">
      <c r="A99" t="s">
        <v>219</v>
      </c>
      <c r="B99" t="s">
        <v>197</v>
      </c>
    </row>
    <row r="100" spans="1:2" x14ac:dyDescent="0.35">
      <c r="A100" t="s">
        <v>219</v>
      </c>
      <c r="B100" t="s">
        <v>198</v>
      </c>
    </row>
    <row r="101" spans="1:2" x14ac:dyDescent="0.35">
      <c r="A101" t="s">
        <v>219</v>
      </c>
      <c r="B101" t="s">
        <v>199</v>
      </c>
    </row>
    <row r="102" spans="1:2" x14ac:dyDescent="0.35">
      <c r="A102" t="s">
        <v>219</v>
      </c>
      <c r="B102" t="s">
        <v>187</v>
      </c>
    </row>
    <row r="103" spans="1:2" x14ac:dyDescent="0.35">
      <c r="A103" t="s">
        <v>219</v>
      </c>
      <c r="B103" t="s">
        <v>188</v>
      </c>
    </row>
    <row r="104" spans="1:2" x14ac:dyDescent="0.35">
      <c r="A104" t="s">
        <v>219</v>
      </c>
      <c r="B104" t="s">
        <v>189</v>
      </c>
    </row>
    <row r="105" spans="1:2" x14ac:dyDescent="0.35">
      <c r="A105" t="s">
        <v>219</v>
      </c>
      <c r="B105" t="s">
        <v>190</v>
      </c>
    </row>
    <row r="106" spans="1:2" x14ac:dyDescent="0.35">
      <c r="A106" t="s">
        <v>219</v>
      </c>
      <c r="B106" t="s">
        <v>191</v>
      </c>
    </row>
    <row r="107" spans="1:2" x14ac:dyDescent="0.35">
      <c r="A107" t="s">
        <v>219</v>
      </c>
      <c r="B107" t="s">
        <v>192</v>
      </c>
    </row>
    <row r="108" spans="1:2" x14ac:dyDescent="0.35">
      <c r="A108" t="s">
        <v>219</v>
      </c>
      <c r="B108" t="s">
        <v>163</v>
      </c>
    </row>
    <row r="109" spans="1:2" x14ac:dyDescent="0.35">
      <c r="A109" t="s">
        <v>219</v>
      </c>
      <c r="B109" t="s">
        <v>193</v>
      </c>
    </row>
    <row r="110" spans="1:2" x14ac:dyDescent="0.35">
      <c r="A110" t="s">
        <v>219</v>
      </c>
      <c r="B110" t="s">
        <v>201</v>
      </c>
    </row>
    <row r="111" spans="1:2" x14ac:dyDescent="0.35">
      <c r="A111" t="s">
        <v>219</v>
      </c>
      <c r="B111" t="s">
        <v>202</v>
      </c>
    </row>
    <row r="112" spans="1:2" x14ac:dyDescent="0.35">
      <c r="A112" t="s">
        <v>219</v>
      </c>
      <c r="B112" t="s">
        <v>203</v>
      </c>
    </row>
    <row r="113" spans="1:2" x14ac:dyDescent="0.35">
      <c r="A113" t="s">
        <v>219</v>
      </c>
      <c r="B113" t="s">
        <v>164</v>
      </c>
    </row>
    <row r="114" spans="1:2" x14ac:dyDescent="0.35">
      <c r="A114" t="s">
        <v>219</v>
      </c>
      <c r="B114" t="s">
        <v>200</v>
      </c>
    </row>
    <row r="115" spans="1:2" x14ac:dyDescent="0.35">
      <c r="A115" t="s">
        <v>50</v>
      </c>
      <c r="B115" t="s">
        <v>186</v>
      </c>
    </row>
    <row r="116" spans="1:2" x14ac:dyDescent="0.35">
      <c r="A116" t="s">
        <v>50</v>
      </c>
      <c r="B116" t="s">
        <v>184</v>
      </c>
    </row>
    <row r="117" spans="1:2" x14ac:dyDescent="0.35">
      <c r="A117" t="s">
        <v>50</v>
      </c>
      <c r="B117" t="s">
        <v>194</v>
      </c>
    </row>
    <row r="118" spans="1:2" x14ac:dyDescent="0.35">
      <c r="A118" t="s">
        <v>50</v>
      </c>
      <c r="B118" t="s">
        <v>195</v>
      </c>
    </row>
    <row r="119" spans="1:2" x14ac:dyDescent="0.35">
      <c r="A119" t="s">
        <v>50</v>
      </c>
      <c r="B119" t="s">
        <v>196</v>
      </c>
    </row>
    <row r="120" spans="1:2" x14ac:dyDescent="0.35">
      <c r="A120" t="s">
        <v>50</v>
      </c>
      <c r="B120" t="s">
        <v>197</v>
      </c>
    </row>
    <row r="121" spans="1:2" x14ac:dyDescent="0.35">
      <c r="A121" t="s">
        <v>50</v>
      </c>
      <c r="B121" t="s">
        <v>198</v>
      </c>
    </row>
    <row r="122" spans="1:2" x14ac:dyDescent="0.35">
      <c r="A122" t="s">
        <v>50</v>
      </c>
      <c r="B122" t="s">
        <v>199</v>
      </c>
    </row>
    <row r="123" spans="1:2" x14ac:dyDescent="0.35">
      <c r="A123" t="s">
        <v>50</v>
      </c>
      <c r="B123" t="s">
        <v>185</v>
      </c>
    </row>
    <row r="124" spans="1:2" x14ac:dyDescent="0.35">
      <c r="A124" t="s">
        <v>50</v>
      </c>
      <c r="B124" t="s">
        <v>187</v>
      </c>
    </row>
    <row r="125" spans="1:2" x14ac:dyDescent="0.35">
      <c r="A125" t="s">
        <v>50</v>
      </c>
      <c r="B125" t="s">
        <v>188</v>
      </c>
    </row>
    <row r="126" spans="1:2" x14ac:dyDescent="0.35">
      <c r="A126" t="s">
        <v>50</v>
      </c>
      <c r="B126" t="s">
        <v>189</v>
      </c>
    </row>
    <row r="127" spans="1:2" x14ac:dyDescent="0.35">
      <c r="A127" t="s">
        <v>50</v>
      </c>
      <c r="B127" t="s">
        <v>190</v>
      </c>
    </row>
    <row r="128" spans="1:2" x14ac:dyDescent="0.35">
      <c r="A128" t="s">
        <v>50</v>
      </c>
      <c r="B128" t="s">
        <v>191</v>
      </c>
    </row>
    <row r="129" spans="1:2" x14ac:dyDescent="0.35">
      <c r="A129" t="s">
        <v>50</v>
      </c>
      <c r="B129" t="s">
        <v>192</v>
      </c>
    </row>
    <row r="130" spans="1:2" x14ac:dyDescent="0.35">
      <c r="A130" t="s">
        <v>50</v>
      </c>
      <c r="B130" t="s">
        <v>163</v>
      </c>
    </row>
    <row r="131" spans="1:2" x14ac:dyDescent="0.35">
      <c r="A131" t="s">
        <v>50</v>
      </c>
      <c r="B131" t="s">
        <v>193</v>
      </c>
    </row>
    <row r="132" spans="1:2" x14ac:dyDescent="0.35">
      <c r="A132" t="s">
        <v>50</v>
      </c>
      <c r="B132" t="s">
        <v>201</v>
      </c>
    </row>
    <row r="133" spans="1:2" x14ac:dyDescent="0.35">
      <c r="A133" t="s">
        <v>50</v>
      </c>
      <c r="B133" t="s">
        <v>202</v>
      </c>
    </row>
    <row r="134" spans="1:2" x14ac:dyDescent="0.35">
      <c r="A134" t="s">
        <v>50</v>
      </c>
      <c r="B134" t="s">
        <v>203</v>
      </c>
    </row>
    <row r="135" spans="1:2" x14ac:dyDescent="0.35">
      <c r="A135" t="s">
        <v>50</v>
      </c>
      <c r="B135" t="s">
        <v>164</v>
      </c>
    </row>
    <row r="136" spans="1:2" x14ac:dyDescent="0.35">
      <c r="A136" t="s">
        <v>50</v>
      </c>
      <c r="B136" t="s">
        <v>200</v>
      </c>
    </row>
    <row r="137" spans="1:2" x14ac:dyDescent="0.35">
      <c r="A137" t="s">
        <v>221</v>
      </c>
      <c r="B137" t="s">
        <v>194</v>
      </c>
    </row>
    <row r="138" spans="1:2" x14ac:dyDescent="0.35">
      <c r="A138" t="s">
        <v>221</v>
      </c>
      <c r="B138" t="s">
        <v>195</v>
      </c>
    </row>
    <row r="139" spans="1:2" x14ac:dyDescent="0.35">
      <c r="A139" t="s">
        <v>221</v>
      </c>
      <c r="B139" t="s">
        <v>196</v>
      </c>
    </row>
    <row r="140" spans="1:2" x14ac:dyDescent="0.35">
      <c r="A140" t="s">
        <v>221</v>
      </c>
      <c r="B140" t="s">
        <v>197</v>
      </c>
    </row>
    <row r="141" spans="1:2" x14ac:dyDescent="0.35">
      <c r="A141" t="s">
        <v>221</v>
      </c>
      <c r="B141" t="s">
        <v>198</v>
      </c>
    </row>
    <row r="142" spans="1:2" x14ac:dyDescent="0.35">
      <c r="A142" t="s">
        <v>221</v>
      </c>
      <c r="B142" t="s">
        <v>199</v>
      </c>
    </row>
    <row r="143" spans="1:2" x14ac:dyDescent="0.35">
      <c r="A143" t="s">
        <v>221</v>
      </c>
      <c r="B143" t="s">
        <v>187</v>
      </c>
    </row>
    <row r="144" spans="1:2" x14ac:dyDescent="0.35">
      <c r="A144" t="s">
        <v>221</v>
      </c>
      <c r="B144" t="s">
        <v>188</v>
      </c>
    </row>
    <row r="145" spans="1:2" x14ac:dyDescent="0.35">
      <c r="A145" t="s">
        <v>221</v>
      </c>
      <c r="B145" t="s">
        <v>189</v>
      </c>
    </row>
    <row r="146" spans="1:2" x14ac:dyDescent="0.35">
      <c r="A146" t="s">
        <v>221</v>
      </c>
      <c r="B146" t="s">
        <v>190</v>
      </c>
    </row>
    <row r="147" spans="1:2" x14ac:dyDescent="0.35">
      <c r="A147" t="s">
        <v>221</v>
      </c>
      <c r="B147" t="s">
        <v>191</v>
      </c>
    </row>
    <row r="148" spans="1:2" x14ac:dyDescent="0.35">
      <c r="A148" t="s">
        <v>221</v>
      </c>
      <c r="B148" t="s">
        <v>192</v>
      </c>
    </row>
    <row r="149" spans="1:2" x14ac:dyDescent="0.35">
      <c r="A149" t="s">
        <v>221</v>
      </c>
      <c r="B149" t="s">
        <v>163</v>
      </c>
    </row>
    <row r="150" spans="1:2" x14ac:dyDescent="0.35">
      <c r="A150" t="s">
        <v>221</v>
      </c>
      <c r="B150" t="s">
        <v>193</v>
      </c>
    </row>
    <row r="151" spans="1:2" x14ac:dyDescent="0.35">
      <c r="A151" t="s">
        <v>221</v>
      </c>
      <c r="B151" t="s">
        <v>201</v>
      </c>
    </row>
    <row r="152" spans="1:2" x14ac:dyDescent="0.35">
      <c r="A152" t="s">
        <v>221</v>
      </c>
      <c r="B152" t="s">
        <v>202</v>
      </c>
    </row>
    <row r="153" spans="1:2" x14ac:dyDescent="0.35">
      <c r="A153" t="s">
        <v>221</v>
      </c>
      <c r="B153" t="s">
        <v>203</v>
      </c>
    </row>
    <row r="154" spans="1:2" x14ac:dyDescent="0.35">
      <c r="A154" t="s">
        <v>221</v>
      </c>
      <c r="B154" t="s">
        <v>164</v>
      </c>
    </row>
    <row r="155" spans="1:2" x14ac:dyDescent="0.35">
      <c r="A155" t="s">
        <v>221</v>
      </c>
      <c r="B155" t="s">
        <v>200</v>
      </c>
    </row>
    <row r="156" spans="1:2" x14ac:dyDescent="0.35">
      <c r="A156" t="s">
        <v>0</v>
      </c>
      <c r="B156" t="s">
        <v>194</v>
      </c>
    </row>
    <row r="157" spans="1:2" x14ac:dyDescent="0.35">
      <c r="A157" t="s">
        <v>0</v>
      </c>
      <c r="B157" t="s">
        <v>195</v>
      </c>
    </row>
    <row r="158" spans="1:2" x14ac:dyDescent="0.35">
      <c r="A158" t="s">
        <v>0</v>
      </c>
      <c r="B158" t="s">
        <v>196</v>
      </c>
    </row>
    <row r="159" spans="1:2" x14ac:dyDescent="0.35">
      <c r="A159" t="s">
        <v>0</v>
      </c>
      <c r="B159" t="s">
        <v>197</v>
      </c>
    </row>
    <row r="160" spans="1:2" x14ac:dyDescent="0.35">
      <c r="A160" t="s">
        <v>0</v>
      </c>
      <c r="B160" t="s">
        <v>198</v>
      </c>
    </row>
    <row r="161" spans="1:2" x14ac:dyDescent="0.35">
      <c r="A161" t="s">
        <v>0</v>
      </c>
      <c r="B161" t="s">
        <v>199</v>
      </c>
    </row>
    <row r="162" spans="1:2" x14ac:dyDescent="0.35">
      <c r="A162" t="s">
        <v>0</v>
      </c>
      <c r="B162" t="s">
        <v>187</v>
      </c>
    </row>
    <row r="163" spans="1:2" x14ac:dyDescent="0.35">
      <c r="A163" t="s">
        <v>0</v>
      </c>
      <c r="B163" t="s">
        <v>188</v>
      </c>
    </row>
    <row r="164" spans="1:2" x14ac:dyDescent="0.35">
      <c r="A164" t="s">
        <v>0</v>
      </c>
      <c r="B164" t="s">
        <v>189</v>
      </c>
    </row>
    <row r="165" spans="1:2" x14ac:dyDescent="0.35">
      <c r="A165" t="s">
        <v>0</v>
      </c>
      <c r="B165" t="s">
        <v>190</v>
      </c>
    </row>
    <row r="166" spans="1:2" x14ac:dyDescent="0.35">
      <c r="A166" t="s">
        <v>0</v>
      </c>
      <c r="B166" t="s">
        <v>191</v>
      </c>
    </row>
    <row r="167" spans="1:2" x14ac:dyDescent="0.35">
      <c r="A167" t="s">
        <v>0</v>
      </c>
      <c r="B167" t="s">
        <v>192</v>
      </c>
    </row>
    <row r="168" spans="1:2" x14ac:dyDescent="0.35">
      <c r="A168" t="s">
        <v>0</v>
      </c>
      <c r="B168" t="s">
        <v>163</v>
      </c>
    </row>
    <row r="169" spans="1:2" x14ac:dyDescent="0.35">
      <c r="A169" t="s">
        <v>0</v>
      </c>
      <c r="B169" t="s">
        <v>193</v>
      </c>
    </row>
    <row r="170" spans="1:2" x14ac:dyDescent="0.35">
      <c r="A170" t="s">
        <v>0</v>
      </c>
      <c r="B170" t="s">
        <v>201</v>
      </c>
    </row>
    <row r="171" spans="1:2" x14ac:dyDescent="0.35">
      <c r="A171" t="s">
        <v>0</v>
      </c>
      <c r="B171" t="s">
        <v>202</v>
      </c>
    </row>
    <row r="172" spans="1:2" x14ac:dyDescent="0.35">
      <c r="A172" t="s">
        <v>0</v>
      </c>
      <c r="B172" t="s">
        <v>203</v>
      </c>
    </row>
    <row r="173" spans="1:2" x14ac:dyDescent="0.35">
      <c r="A173" t="s">
        <v>0</v>
      </c>
      <c r="B173" t="s">
        <v>164</v>
      </c>
    </row>
    <row r="174" spans="1:2" x14ac:dyDescent="0.35">
      <c r="A174" t="s">
        <v>0</v>
      </c>
      <c r="B174" t="s">
        <v>200</v>
      </c>
    </row>
    <row r="175" spans="1:2" x14ac:dyDescent="0.35">
      <c r="A175" t="s">
        <v>38</v>
      </c>
      <c r="B175" t="s">
        <v>194</v>
      </c>
    </row>
    <row r="176" spans="1:2" x14ac:dyDescent="0.35">
      <c r="A176" t="s">
        <v>38</v>
      </c>
      <c r="B176" t="s">
        <v>195</v>
      </c>
    </row>
    <row r="177" spans="1:2" x14ac:dyDescent="0.35">
      <c r="A177" t="s">
        <v>38</v>
      </c>
      <c r="B177" t="s">
        <v>196</v>
      </c>
    </row>
    <row r="178" spans="1:2" x14ac:dyDescent="0.35">
      <c r="A178" t="s">
        <v>38</v>
      </c>
      <c r="B178" t="s">
        <v>197</v>
      </c>
    </row>
    <row r="179" spans="1:2" x14ac:dyDescent="0.35">
      <c r="A179" t="s">
        <v>38</v>
      </c>
      <c r="B179" t="s">
        <v>198</v>
      </c>
    </row>
    <row r="180" spans="1:2" x14ac:dyDescent="0.35">
      <c r="A180" t="s">
        <v>38</v>
      </c>
      <c r="B180" t="s">
        <v>199</v>
      </c>
    </row>
    <row r="181" spans="1:2" x14ac:dyDescent="0.35">
      <c r="A181" t="s">
        <v>38</v>
      </c>
      <c r="B181" t="s">
        <v>187</v>
      </c>
    </row>
    <row r="182" spans="1:2" x14ac:dyDescent="0.35">
      <c r="A182" t="s">
        <v>38</v>
      </c>
      <c r="B182" t="s">
        <v>188</v>
      </c>
    </row>
    <row r="183" spans="1:2" x14ac:dyDescent="0.35">
      <c r="A183" t="s">
        <v>38</v>
      </c>
      <c r="B183" t="s">
        <v>189</v>
      </c>
    </row>
    <row r="184" spans="1:2" x14ac:dyDescent="0.35">
      <c r="A184" t="s">
        <v>38</v>
      </c>
      <c r="B184" t="s">
        <v>190</v>
      </c>
    </row>
    <row r="185" spans="1:2" x14ac:dyDescent="0.35">
      <c r="A185" t="s">
        <v>38</v>
      </c>
      <c r="B185" t="s">
        <v>191</v>
      </c>
    </row>
    <row r="186" spans="1:2" x14ac:dyDescent="0.35">
      <c r="A186" t="s">
        <v>38</v>
      </c>
      <c r="B186" t="s">
        <v>192</v>
      </c>
    </row>
    <row r="187" spans="1:2" x14ac:dyDescent="0.35">
      <c r="A187" t="s">
        <v>38</v>
      </c>
      <c r="B187" t="s">
        <v>163</v>
      </c>
    </row>
    <row r="188" spans="1:2" x14ac:dyDescent="0.35">
      <c r="A188" t="s">
        <v>38</v>
      </c>
      <c r="B188" t="s">
        <v>193</v>
      </c>
    </row>
    <row r="189" spans="1:2" x14ac:dyDescent="0.35">
      <c r="A189" t="s">
        <v>38</v>
      </c>
      <c r="B189" t="s">
        <v>201</v>
      </c>
    </row>
    <row r="190" spans="1:2" x14ac:dyDescent="0.35">
      <c r="A190" t="s">
        <v>38</v>
      </c>
      <c r="B190" t="s">
        <v>202</v>
      </c>
    </row>
    <row r="191" spans="1:2" x14ac:dyDescent="0.35">
      <c r="A191" t="s">
        <v>38</v>
      </c>
      <c r="B191" t="s">
        <v>203</v>
      </c>
    </row>
    <row r="192" spans="1:2" x14ac:dyDescent="0.35">
      <c r="A192" t="s">
        <v>38</v>
      </c>
      <c r="B192" t="s">
        <v>164</v>
      </c>
    </row>
    <row r="193" spans="1:2" x14ac:dyDescent="0.35">
      <c r="A193" t="s">
        <v>38</v>
      </c>
      <c r="B193" t="s">
        <v>200</v>
      </c>
    </row>
    <row r="194" spans="1:2" x14ac:dyDescent="0.35">
      <c r="A194" t="s">
        <v>220</v>
      </c>
      <c r="B194" t="s">
        <v>194</v>
      </c>
    </row>
    <row r="195" spans="1:2" x14ac:dyDescent="0.35">
      <c r="A195" t="s">
        <v>220</v>
      </c>
      <c r="B195" t="s">
        <v>195</v>
      </c>
    </row>
    <row r="196" spans="1:2" x14ac:dyDescent="0.35">
      <c r="A196" t="s">
        <v>220</v>
      </c>
      <c r="B196" t="s">
        <v>196</v>
      </c>
    </row>
    <row r="197" spans="1:2" x14ac:dyDescent="0.35">
      <c r="A197" t="s">
        <v>220</v>
      </c>
      <c r="B197" t="s">
        <v>197</v>
      </c>
    </row>
    <row r="198" spans="1:2" x14ac:dyDescent="0.35">
      <c r="A198" t="s">
        <v>220</v>
      </c>
      <c r="B198" t="s">
        <v>198</v>
      </c>
    </row>
    <row r="199" spans="1:2" x14ac:dyDescent="0.35">
      <c r="A199" t="s">
        <v>220</v>
      </c>
      <c r="B199" t="s">
        <v>199</v>
      </c>
    </row>
    <row r="200" spans="1:2" x14ac:dyDescent="0.35">
      <c r="A200" t="s">
        <v>220</v>
      </c>
      <c r="B200" t="s">
        <v>187</v>
      </c>
    </row>
    <row r="201" spans="1:2" x14ac:dyDescent="0.35">
      <c r="A201" t="s">
        <v>220</v>
      </c>
      <c r="B201" t="s">
        <v>188</v>
      </c>
    </row>
    <row r="202" spans="1:2" x14ac:dyDescent="0.35">
      <c r="A202" t="s">
        <v>220</v>
      </c>
      <c r="B202" t="s">
        <v>189</v>
      </c>
    </row>
    <row r="203" spans="1:2" x14ac:dyDescent="0.35">
      <c r="A203" t="s">
        <v>220</v>
      </c>
      <c r="B203" t="s">
        <v>190</v>
      </c>
    </row>
    <row r="204" spans="1:2" x14ac:dyDescent="0.35">
      <c r="A204" t="s">
        <v>220</v>
      </c>
      <c r="B204" t="s">
        <v>191</v>
      </c>
    </row>
    <row r="205" spans="1:2" x14ac:dyDescent="0.35">
      <c r="A205" t="s">
        <v>220</v>
      </c>
      <c r="B205" t="s">
        <v>192</v>
      </c>
    </row>
    <row r="206" spans="1:2" x14ac:dyDescent="0.35">
      <c r="A206" t="s">
        <v>220</v>
      </c>
      <c r="B206" t="s">
        <v>163</v>
      </c>
    </row>
    <row r="207" spans="1:2" x14ac:dyDescent="0.35">
      <c r="A207" t="s">
        <v>220</v>
      </c>
      <c r="B207" t="s">
        <v>193</v>
      </c>
    </row>
    <row r="208" spans="1:2" x14ac:dyDescent="0.35">
      <c r="A208" t="s">
        <v>220</v>
      </c>
      <c r="B208" t="s">
        <v>201</v>
      </c>
    </row>
    <row r="209" spans="1:2" x14ac:dyDescent="0.35">
      <c r="A209" t="s">
        <v>220</v>
      </c>
      <c r="B209" t="s">
        <v>202</v>
      </c>
    </row>
    <row r="210" spans="1:2" x14ac:dyDescent="0.35">
      <c r="A210" t="s">
        <v>220</v>
      </c>
      <c r="B210" t="s">
        <v>203</v>
      </c>
    </row>
    <row r="211" spans="1:2" x14ac:dyDescent="0.35">
      <c r="A211" t="s">
        <v>220</v>
      </c>
      <c r="B211" t="s">
        <v>164</v>
      </c>
    </row>
    <row r="212" spans="1:2" x14ac:dyDescent="0.35">
      <c r="A212" t="s">
        <v>220</v>
      </c>
      <c r="B212" t="s">
        <v>200</v>
      </c>
    </row>
    <row r="213" spans="1:2" x14ac:dyDescent="0.35">
      <c r="A213" t="s">
        <v>222</v>
      </c>
      <c r="B213" t="s">
        <v>194</v>
      </c>
    </row>
    <row r="214" spans="1:2" x14ac:dyDescent="0.35">
      <c r="A214" t="s">
        <v>222</v>
      </c>
      <c r="B214" t="s">
        <v>195</v>
      </c>
    </row>
    <row r="215" spans="1:2" x14ac:dyDescent="0.35">
      <c r="A215" t="s">
        <v>222</v>
      </c>
      <c r="B215" t="s">
        <v>196</v>
      </c>
    </row>
    <row r="216" spans="1:2" x14ac:dyDescent="0.35">
      <c r="A216" t="s">
        <v>222</v>
      </c>
      <c r="B216" t="s">
        <v>197</v>
      </c>
    </row>
    <row r="217" spans="1:2" x14ac:dyDescent="0.35">
      <c r="A217" t="s">
        <v>222</v>
      </c>
      <c r="B217" t="s">
        <v>198</v>
      </c>
    </row>
    <row r="218" spans="1:2" x14ac:dyDescent="0.35">
      <c r="A218" t="s">
        <v>222</v>
      </c>
      <c r="B218" t="s">
        <v>199</v>
      </c>
    </row>
    <row r="219" spans="1:2" x14ac:dyDescent="0.35">
      <c r="A219" t="s">
        <v>222</v>
      </c>
      <c r="B219" t="s">
        <v>187</v>
      </c>
    </row>
    <row r="220" spans="1:2" x14ac:dyDescent="0.35">
      <c r="A220" t="s">
        <v>222</v>
      </c>
      <c r="B220" t="s">
        <v>188</v>
      </c>
    </row>
    <row r="221" spans="1:2" x14ac:dyDescent="0.35">
      <c r="A221" t="s">
        <v>222</v>
      </c>
      <c r="B221" t="s">
        <v>189</v>
      </c>
    </row>
    <row r="222" spans="1:2" x14ac:dyDescent="0.35">
      <c r="A222" t="s">
        <v>222</v>
      </c>
      <c r="B222" t="s">
        <v>190</v>
      </c>
    </row>
    <row r="223" spans="1:2" x14ac:dyDescent="0.35">
      <c r="A223" t="s">
        <v>222</v>
      </c>
      <c r="B223" t="s">
        <v>191</v>
      </c>
    </row>
    <row r="224" spans="1:2" x14ac:dyDescent="0.35">
      <c r="A224" t="s">
        <v>222</v>
      </c>
      <c r="B224" t="s">
        <v>192</v>
      </c>
    </row>
    <row r="225" spans="1:2" x14ac:dyDescent="0.35">
      <c r="A225" t="s">
        <v>222</v>
      </c>
      <c r="B225" t="s">
        <v>163</v>
      </c>
    </row>
    <row r="226" spans="1:2" x14ac:dyDescent="0.35">
      <c r="A226" t="s">
        <v>222</v>
      </c>
      <c r="B226" t="s">
        <v>193</v>
      </c>
    </row>
    <row r="227" spans="1:2" x14ac:dyDescent="0.35">
      <c r="A227" t="s">
        <v>222</v>
      </c>
      <c r="B227" t="s">
        <v>201</v>
      </c>
    </row>
    <row r="228" spans="1:2" x14ac:dyDescent="0.35">
      <c r="A228" t="s">
        <v>222</v>
      </c>
      <c r="B228" t="s">
        <v>202</v>
      </c>
    </row>
    <row r="229" spans="1:2" x14ac:dyDescent="0.35">
      <c r="A229" t="s">
        <v>222</v>
      </c>
      <c r="B229" t="s">
        <v>203</v>
      </c>
    </row>
    <row r="230" spans="1:2" x14ac:dyDescent="0.35">
      <c r="A230" t="s">
        <v>222</v>
      </c>
      <c r="B230" t="s">
        <v>164</v>
      </c>
    </row>
    <row r="231" spans="1:2" x14ac:dyDescent="0.35">
      <c r="A231" t="s">
        <v>222</v>
      </c>
      <c r="B231" t="s">
        <v>200</v>
      </c>
    </row>
    <row r="232" spans="1:2" x14ac:dyDescent="0.35">
      <c r="A232" t="s">
        <v>224</v>
      </c>
      <c r="B232" t="s">
        <v>194</v>
      </c>
    </row>
    <row r="233" spans="1:2" x14ac:dyDescent="0.35">
      <c r="A233" t="s">
        <v>224</v>
      </c>
      <c r="B233" t="s">
        <v>195</v>
      </c>
    </row>
    <row r="234" spans="1:2" x14ac:dyDescent="0.35">
      <c r="A234" t="s">
        <v>224</v>
      </c>
      <c r="B234" t="s">
        <v>196</v>
      </c>
    </row>
    <row r="235" spans="1:2" x14ac:dyDescent="0.35">
      <c r="A235" t="s">
        <v>224</v>
      </c>
      <c r="B235" t="s">
        <v>197</v>
      </c>
    </row>
    <row r="236" spans="1:2" x14ac:dyDescent="0.35">
      <c r="A236" t="s">
        <v>224</v>
      </c>
      <c r="B236" t="s">
        <v>198</v>
      </c>
    </row>
    <row r="237" spans="1:2" x14ac:dyDescent="0.35">
      <c r="A237" t="s">
        <v>224</v>
      </c>
      <c r="B237" t="s">
        <v>199</v>
      </c>
    </row>
    <row r="238" spans="1:2" x14ac:dyDescent="0.35">
      <c r="A238" t="s">
        <v>224</v>
      </c>
      <c r="B238" t="s">
        <v>187</v>
      </c>
    </row>
    <row r="239" spans="1:2" x14ac:dyDescent="0.35">
      <c r="A239" t="s">
        <v>224</v>
      </c>
      <c r="B239" t="s">
        <v>188</v>
      </c>
    </row>
    <row r="240" spans="1:2" x14ac:dyDescent="0.35">
      <c r="A240" t="s">
        <v>224</v>
      </c>
      <c r="B240" t="s">
        <v>189</v>
      </c>
    </row>
    <row r="241" spans="1:2" x14ac:dyDescent="0.35">
      <c r="A241" t="s">
        <v>224</v>
      </c>
      <c r="B241" t="s">
        <v>190</v>
      </c>
    </row>
    <row r="242" spans="1:2" x14ac:dyDescent="0.35">
      <c r="A242" t="s">
        <v>224</v>
      </c>
      <c r="B242" t="s">
        <v>191</v>
      </c>
    </row>
    <row r="243" spans="1:2" x14ac:dyDescent="0.35">
      <c r="A243" t="s">
        <v>224</v>
      </c>
      <c r="B243" t="s">
        <v>192</v>
      </c>
    </row>
    <row r="244" spans="1:2" x14ac:dyDescent="0.35">
      <c r="A244" t="s">
        <v>224</v>
      </c>
      <c r="B244" t="s">
        <v>163</v>
      </c>
    </row>
    <row r="245" spans="1:2" x14ac:dyDescent="0.35">
      <c r="A245" t="s">
        <v>224</v>
      </c>
      <c r="B245" t="s">
        <v>193</v>
      </c>
    </row>
    <row r="246" spans="1:2" x14ac:dyDescent="0.35">
      <c r="A246" t="s">
        <v>224</v>
      </c>
      <c r="B246" t="s">
        <v>201</v>
      </c>
    </row>
    <row r="247" spans="1:2" x14ac:dyDescent="0.35">
      <c r="A247" t="s">
        <v>224</v>
      </c>
      <c r="B247" t="s">
        <v>202</v>
      </c>
    </row>
    <row r="248" spans="1:2" x14ac:dyDescent="0.35">
      <c r="A248" t="s">
        <v>224</v>
      </c>
      <c r="B248" t="s">
        <v>203</v>
      </c>
    </row>
    <row r="249" spans="1:2" x14ac:dyDescent="0.35">
      <c r="A249" t="s">
        <v>224</v>
      </c>
      <c r="B249" t="s">
        <v>164</v>
      </c>
    </row>
    <row r="250" spans="1:2" x14ac:dyDescent="0.35">
      <c r="A250" t="s">
        <v>224</v>
      </c>
      <c r="B250" t="s">
        <v>200</v>
      </c>
    </row>
    <row r="251" spans="1:2" x14ac:dyDescent="0.35">
      <c r="A251" t="s">
        <v>41</v>
      </c>
      <c r="B251" t="s">
        <v>194</v>
      </c>
    </row>
    <row r="252" spans="1:2" x14ac:dyDescent="0.35">
      <c r="A252" t="s">
        <v>41</v>
      </c>
      <c r="B252" t="s">
        <v>195</v>
      </c>
    </row>
    <row r="253" spans="1:2" x14ac:dyDescent="0.35">
      <c r="A253" t="s">
        <v>41</v>
      </c>
      <c r="B253" t="s">
        <v>196</v>
      </c>
    </row>
    <row r="254" spans="1:2" x14ac:dyDescent="0.35">
      <c r="A254" t="s">
        <v>41</v>
      </c>
      <c r="B254" t="s">
        <v>197</v>
      </c>
    </row>
    <row r="255" spans="1:2" x14ac:dyDescent="0.35">
      <c r="A255" t="s">
        <v>41</v>
      </c>
      <c r="B255" t="s">
        <v>198</v>
      </c>
    </row>
    <row r="256" spans="1:2" x14ac:dyDescent="0.35">
      <c r="A256" t="s">
        <v>41</v>
      </c>
      <c r="B256" t="s">
        <v>199</v>
      </c>
    </row>
    <row r="257" spans="1:2" x14ac:dyDescent="0.35">
      <c r="A257" t="s">
        <v>41</v>
      </c>
      <c r="B257" t="s">
        <v>187</v>
      </c>
    </row>
    <row r="258" spans="1:2" x14ac:dyDescent="0.35">
      <c r="A258" t="s">
        <v>41</v>
      </c>
      <c r="B258" t="s">
        <v>188</v>
      </c>
    </row>
    <row r="259" spans="1:2" x14ac:dyDescent="0.35">
      <c r="A259" t="s">
        <v>41</v>
      </c>
      <c r="B259" t="s">
        <v>189</v>
      </c>
    </row>
    <row r="260" spans="1:2" x14ac:dyDescent="0.35">
      <c r="A260" t="s">
        <v>41</v>
      </c>
      <c r="B260" t="s">
        <v>190</v>
      </c>
    </row>
    <row r="261" spans="1:2" x14ac:dyDescent="0.35">
      <c r="A261" t="s">
        <v>41</v>
      </c>
      <c r="B261" t="s">
        <v>191</v>
      </c>
    </row>
    <row r="262" spans="1:2" x14ac:dyDescent="0.35">
      <c r="A262" t="s">
        <v>41</v>
      </c>
      <c r="B262" t="s">
        <v>192</v>
      </c>
    </row>
    <row r="263" spans="1:2" x14ac:dyDescent="0.35">
      <c r="A263" t="s">
        <v>41</v>
      </c>
      <c r="B263" t="s">
        <v>163</v>
      </c>
    </row>
    <row r="264" spans="1:2" x14ac:dyDescent="0.35">
      <c r="A264" t="s">
        <v>41</v>
      </c>
      <c r="B264" t="s">
        <v>193</v>
      </c>
    </row>
    <row r="265" spans="1:2" x14ac:dyDescent="0.35">
      <c r="A265" t="s">
        <v>41</v>
      </c>
      <c r="B265" t="s">
        <v>201</v>
      </c>
    </row>
    <row r="266" spans="1:2" x14ac:dyDescent="0.35">
      <c r="A266" t="s">
        <v>41</v>
      </c>
      <c r="B266" t="s">
        <v>202</v>
      </c>
    </row>
    <row r="267" spans="1:2" x14ac:dyDescent="0.35">
      <c r="A267" t="s">
        <v>41</v>
      </c>
      <c r="B267" t="s">
        <v>203</v>
      </c>
    </row>
    <row r="268" spans="1:2" x14ac:dyDescent="0.35">
      <c r="A268" t="s">
        <v>41</v>
      </c>
      <c r="B268" t="s">
        <v>164</v>
      </c>
    </row>
    <row r="269" spans="1:2" x14ac:dyDescent="0.35">
      <c r="A269" t="s">
        <v>41</v>
      </c>
      <c r="B269" t="s">
        <v>200</v>
      </c>
    </row>
    <row r="270" spans="1:2" x14ac:dyDescent="0.35">
      <c r="A270" t="s">
        <v>42</v>
      </c>
      <c r="B270" t="s">
        <v>194</v>
      </c>
    </row>
    <row r="271" spans="1:2" x14ac:dyDescent="0.35">
      <c r="A271" t="s">
        <v>42</v>
      </c>
      <c r="B271" t="s">
        <v>195</v>
      </c>
    </row>
    <row r="272" spans="1:2" x14ac:dyDescent="0.35">
      <c r="A272" t="s">
        <v>42</v>
      </c>
      <c r="B272" t="s">
        <v>196</v>
      </c>
    </row>
    <row r="273" spans="1:2" x14ac:dyDescent="0.35">
      <c r="A273" t="s">
        <v>42</v>
      </c>
      <c r="B273" t="s">
        <v>197</v>
      </c>
    </row>
    <row r="274" spans="1:2" x14ac:dyDescent="0.35">
      <c r="A274" t="s">
        <v>42</v>
      </c>
      <c r="B274" t="s">
        <v>198</v>
      </c>
    </row>
    <row r="275" spans="1:2" x14ac:dyDescent="0.35">
      <c r="A275" t="s">
        <v>42</v>
      </c>
      <c r="B275" t="s">
        <v>199</v>
      </c>
    </row>
    <row r="276" spans="1:2" x14ac:dyDescent="0.35">
      <c r="A276" t="s">
        <v>42</v>
      </c>
      <c r="B276" t="s">
        <v>187</v>
      </c>
    </row>
    <row r="277" spans="1:2" x14ac:dyDescent="0.35">
      <c r="A277" t="s">
        <v>42</v>
      </c>
      <c r="B277" t="s">
        <v>188</v>
      </c>
    </row>
    <row r="278" spans="1:2" x14ac:dyDescent="0.35">
      <c r="A278" t="s">
        <v>42</v>
      </c>
      <c r="B278" t="s">
        <v>189</v>
      </c>
    </row>
    <row r="279" spans="1:2" x14ac:dyDescent="0.35">
      <c r="A279" t="s">
        <v>42</v>
      </c>
      <c r="B279" t="s">
        <v>190</v>
      </c>
    </row>
    <row r="280" spans="1:2" x14ac:dyDescent="0.35">
      <c r="A280" t="s">
        <v>42</v>
      </c>
      <c r="B280" t="s">
        <v>191</v>
      </c>
    </row>
    <row r="281" spans="1:2" x14ac:dyDescent="0.35">
      <c r="A281" t="s">
        <v>42</v>
      </c>
      <c r="B281" t="s">
        <v>192</v>
      </c>
    </row>
    <row r="282" spans="1:2" x14ac:dyDescent="0.35">
      <c r="A282" t="s">
        <v>42</v>
      </c>
      <c r="B282" t="s">
        <v>163</v>
      </c>
    </row>
    <row r="283" spans="1:2" x14ac:dyDescent="0.35">
      <c r="A283" t="s">
        <v>42</v>
      </c>
      <c r="B283" t="s">
        <v>193</v>
      </c>
    </row>
    <row r="284" spans="1:2" x14ac:dyDescent="0.35">
      <c r="A284" t="s">
        <v>42</v>
      </c>
      <c r="B284" t="s">
        <v>201</v>
      </c>
    </row>
    <row r="285" spans="1:2" x14ac:dyDescent="0.35">
      <c r="A285" t="s">
        <v>42</v>
      </c>
      <c r="B285" t="s">
        <v>202</v>
      </c>
    </row>
    <row r="286" spans="1:2" x14ac:dyDescent="0.35">
      <c r="A286" t="s">
        <v>42</v>
      </c>
      <c r="B286" t="s">
        <v>203</v>
      </c>
    </row>
    <row r="287" spans="1:2" x14ac:dyDescent="0.35">
      <c r="A287" t="s">
        <v>42</v>
      </c>
      <c r="B287" t="s">
        <v>164</v>
      </c>
    </row>
    <row r="288" spans="1:2" x14ac:dyDescent="0.35">
      <c r="A288" t="s">
        <v>42</v>
      </c>
      <c r="B288" t="s">
        <v>200</v>
      </c>
    </row>
    <row r="289" spans="1:2" x14ac:dyDescent="0.35">
      <c r="A289" t="s">
        <v>43</v>
      </c>
      <c r="B289" t="s">
        <v>194</v>
      </c>
    </row>
    <row r="290" spans="1:2" x14ac:dyDescent="0.35">
      <c r="A290" t="s">
        <v>43</v>
      </c>
      <c r="B290" t="s">
        <v>195</v>
      </c>
    </row>
    <row r="291" spans="1:2" x14ac:dyDescent="0.35">
      <c r="A291" t="s">
        <v>43</v>
      </c>
      <c r="B291" t="s">
        <v>196</v>
      </c>
    </row>
    <row r="292" spans="1:2" x14ac:dyDescent="0.35">
      <c r="A292" t="s">
        <v>43</v>
      </c>
      <c r="B292" t="s">
        <v>197</v>
      </c>
    </row>
    <row r="293" spans="1:2" x14ac:dyDescent="0.35">
      <c r="A293" t="s">
        <v>43</v>
      </c>
      <c r="B293" t="s">
        <v>198</v>
      </c>
    </row>
    <row r="294" spans="1:2" x14ac:dyDescent="0.35">
      <c r="A294" t="s">
        <v>43</v>
      </c>
      <c r="B294" t="s">
        <v>199</v>
      </c>
    </row>
    <row r="295" spans="1:2" x14ac:dyDescent="0.35">
      <c r="A295" t="s">
        <v>43</v>
      </c>
      <c r="B295" t="s">
        <v>187</v>
      </c>
    </row>
    <row r="296" spans="1:2" x14ac:dyDescent="0.35">
      <c r="A296" t="s">
        <v>43</v>
      </c>
      <c r="B296" t="s">
        <v>188</v>
      </c>
    </row>
    <row r="297" spans="1:2" x14ac:dyDescent="0.35">
      <c r="A297" t="s">
        <v>43</v>
      </c>
      <c r="B297" t="s">
        <v>189</v>
      </c>
    </row>
    <row r="298" spans="1:2" x14ac:dyDescent="0.35">
      <c r="A298" t="s">
        <v>43</v>
      </c>
      <c r="B298" t="s">
        <v>190</v>
      </c>
    </row>
    <row r="299" spans="1:2" x14ac:dyDescent="0.35">
      <c r="A299" t="s">
        <v>43</v>
      </c>
      <c r="B299" t="s">
        <v>191</v>
      </c>
    </row>
    <row r="300" spans="1:2" x14ac:dyDescent="0.35">
      <c r="A300" t="s">
        <v>43</v>
      </c>
      <c r="B300" t="s">
        <v>192</v>
      </c>
    </row>
    <row r="301" spans="1:2" x14ac:dyDescent="0.35">
      <c r="A301" t="s">
        <v>43</v>
      </c>
      <c r="B301" t="s">
        <v>163</v>
      </c>
    </row>
    <row r="302" spans="1:2" x14ac:dyDescent="0.35">
      <c r="A302" t="s">
        <v>43</v>
      </c>
      <c r="B302" t="s">
        <v>193</v>
      </c>
    </row>
    <row r="303" spans="1:2" x14ac:dyDescent="0.35">
      <c r="A303" t="s">
        <v>43</v>
      </c>
      <c r="B303" t="s">
        <v>201</v>
      </c>
    </row>
    <row r="304" spans="1:2" x14ac:dyDescent="0.35">
      <c r="A304" t="s">
        <v>43</v>
      </c>
      <c r="B304" t="s">
        <v>202</v>
      </c>
    </row>
    <row r="305" spans="1:2" x14ac:dyDescent="0.35">
      <c r="A305" t="s">
        <v>43</v>
      </c>
      <c r="B305" t="s">
        <v>203</v>
      </c>
    </row>
    <row r="306" spans="1:2" x14ac:dyDescent="0.35">
      <c r="A306" t="s">
        <v>43</v>
      </c>
      <c r="B306" t="s">
        <v>164</v>
      </c>
    </row>
    <row r="307" spans="1:2" x14ac:dyDescent="0.35">
      <c r="A307" t="s">
        <v>43</v>
      </c>
      <c r="B307" t="s">
        <v>200</v>
      </c>
    </row>
    <row r="308" spans="1:2" x14ac:dyDescent="0.35">
      <c r="A308" t="s">
        <v>44</v>
      </c>
      <c r="B308" t="s">
        <v>194</v>
      </c>
    </row>
    <row r="309" spans="1:2" x14ac:dyDescent="0.35">
      <c r="A309" t="s">
        <v>44</v>
      </c>
      <c r="B309" t="s">
        <v>195</v>
      </c>
    </row>
    <row r="310" spans="1:2" x14ac:dyDescent="0.35">
      <c r="A310" t="s">
        <v>44</v>
      </c>
      <c r="B310" t="s">
        <v>196</v>
      </c>
    </row>
    <row r="311" spans="1:2" x14ac:dyDescent="0.35">
      <c r="A311" t="s">
        <v>44</v>
      </c>
      <c r="B311" t="s">
        <v>197</v>
      </c>
    </row>
    <row r="312" spans="1:2" x14ac:dyDescent="0.35">
      <c r="A312" t="s">
        <v>44</v>
      </c>
      <c r="B312" t="s">
        <v>198</v>
      </c>
    </row>
    <row r="313" spans="1:2" x14ac:dyDescent="0.35">
      <c r="A313" t="s">
        <v>44</v>
      </c>
      <c r="B313" t="s">
        <v>199</v>
      </c>
    </row>
    <row r="314" spans="1:2" x14ac:dyDescent="0.35">
      <c r="A314" t="s">
        <v>44</v>
      </c>
      <c r="B314" t="s">
        <v>187</v>
      </c>
    </row>
    <row r="315" spans="1:2" x14ac:dyDescent="0.35">
      <c r="A315" t="s">
        <v>44</v>
      </c>
      <c r="B315" t="s">
        <v>188</v>
      </c>
    </row>
    <row r="316" spans="1:2" x14ac:dyDescent="0.35">
      <c r="A316" t="s">
        <v>44</v>
      </c>
      <c r="B316" t="s">
        <v>189</v>
      </c>
    </row>
    <row r="317" spans="1:2" x14ac:dyDescent="0.35">
      <c r="A317" t="s">
        <v>44</v>
      </c>
      <c r="B317" t="s">
        <v>190</v>
      </c>
    </row>
    <row r="318" spans="1:2" x14ac:dyDescent="0.35">
      <c r="A318" t="s">
        <v>44</v>
      </c>
      <c r="B318" t="s">
        <v>191</v>
      </c>
    </row>
    <row r="319" spans="1:2" x14ac:dyDescent="0.35">
      <c r="A319" t="s">
        <v>44</v>
      </c>
      <c r="B319" t="s">
        <v>192</v>
      </c>
    </row>
    <row r="320" spans="1:2" x14ac:dyDescent="0.35">
      <c r="A320" t="s">
        <v>44</v>
      </c>
      <c r="B320" t="s">
        <v>163</v>
      </c>
    </row>
    <row r="321" spans="1:2" x14ac:dyDescent="0.35">
      <c r="A321" t="s">
        <v>44</v>
      </c>
      <c r="B321" t="s">
        <v>193</v>
      </c>
    </row>
    <row r="322" spans="1:2" x14ac:dyDescent="0.35">
      <c r="A322" t="s">
        <v>44</v>
      </c>
      <c r="B322" t="s">
        <v>201</v>
      </c>
    </row>
    <row r="323" spans="1:2" x14ac:dyDescent="0.35">
      <c r="A323" t="s">
        <v>44</v>
      </c>
      <c r="B323" t="s">
        <v>202</v>
      </c>
    </row>
    <row r="324" spans="1:2" x14ac:dyDescent="0.35">
      <c r="A324" t="s">
        <v>44</v>
      </c>
      <c r="B324" t="s">
        <v>203</v>
      </c>
    </row>
    <row r="325" spans="1:2" x14ac:dyDescent="0.35">
      <c r="A325" t="s">
        <v>44</v>
      </c>
      <c r="B325" t="s">
        <v>164</v>
      </c>
    </row>
    <row r="326" spans="1:2" x14ac:dyDescent="0.35">
      <c r="A326" t="s">
        <v>44</v>
      </c>
      <c r="B326" t="s">
        <v>200</v>
      </c>
    </row>
    <row r="327" spans="1:2" x14ac:dyDescent="0.35">
      <c r="A327" t="s">
        <v>45</v>
      </c>
      <c r="B327" t="s">
        <v>194</v>
      </c>
    </row>
    <row r="328" spans="1:2" x14ac:dyDescent="0.35">
      <c r="A328" t="s">
        <v>45</v>
      </c>
      <c r="B328" t="s">
        <v>195</v>
      </c>
    </row>
    <row r="329" spans="1:2" x14ac:dyDescent="0.35">
      <c r="A329" t="s">
        <v>45</v>
      </c>
      <c r="B329" t="s">
        <v>196</v>
      </c>
    </row>
    <row r="330" spans="1:2" x14ac:dyDescent="0.35">
      <c r="A330" t="s">
        <v>45</v>
      </c>
      <c r="B330" t="s">
        <v>197</v>
      </c>
    </row>
    <row r="331" spans="1:2" x14ac:dyDescent="0.35">
      <c r="A331" t="s">
        <v>45</v>
      </c>
      <c r="B331" t="s">
        <v>198</v>
      </c>
    </row>
    <row r="332" spans="1:2" x14ac:dyDescent="0.35">
      <c r="A332" t="s">
        <v>45</v>
      </c>
      <c r="B332" t="s">
        <v>199</v>
      </c>
    </row>
    <row r="333" spans="1:2" x14ac:dyDescent="0.35">
      <c r="A333" t="s">
        <v>45</v>
      </c>
      <c r="B333" t="s">
        <v>187</v>
      </c>
    </row>
    <row r="334" spans="1:2" x14ac:dyDescent="0.35">
      <c r="A334" t="s">
        <v>45</v>
      </c>
      <c r="B334" t="s">
        <v>188</v>
      </c>
    </row>
    <row r="335" spans="1:2" x14ac:dyDescent="0.35">
      <c r="A335" t="s">
        <v>45</v>
      </c>
      <c r="B335" t="s">
        <v>189</v>
      </c>
    </row>
    <row r="336" spans="1:2" x14ac:dyDescent="0.35">
      <c r="A336" t="s">
        <v>45</v>
      </c>
      <c r="B336" t="s">
        <v>190</v>
      </c>
    </row>
    <row r="337" spans="1:2" x14ac:dyDescent="0.35">
      <c r="A337" t="s">
        <v>45</v>
      </c>
      <c r="B337" t="s">
        <v>191</v>
      </c>
    </row>
    <row r="338" spans="1:2" x14ac:dyDescent="0.35">
      <c r="A338" t="s">
        <v>45</v>
      </c>
      <c r="B338" t="s">
        <v>192</v>
      </c>
    </row>
    <row r="339" spans="1:2" x14ac:dyDescent="0.35">
      <c r="A339" t="s">
        <v>45</v>
      </c>
      <c r="B339" t="s">
        <v>163</v>
      </c>
    </row>
    <row r="340" spans="1:2" x14ac:dyDescent="0.35">
      <c r="A340" t="s">
        <v>45</v>
      </c>
      <c r="B340" t="s">
        <v>193</v>
      </c>
    </row>
    <row r="341" spans="1:2" x14ac:dyDescent="0.35">
      <c r="A341" t="s">
        <v>45</v>
      </c>
      <c r="B341" t="s">
        <v>201</v>
      </c>
    </row>
    <row r="342" spans="1:2" x14ac:dyDescent="0.35">
      <c r="A342" t="s">
        <v>45</v>
      </c>
      <c r="B342" t="s">
        <v>202</v>
      </c>
    </row>
    <row r="343" spans="1:2" x14ac:dyDescent="0.35">
      <c r="A343" t="s">
        <v>45</v>
      </c>
      <c r="B343" t="s">
        <v>203</v>
      </c>
    </row>
    <row r="344" spans="1:2" x14ac:dyDescent="0.35">
      <c r="A344" t="s">
        <v>45</v>
      </c>
      <c r="B344" t="s">
        <v>164</v>
      </c>
    </row>
    <row r="345" spans="1:2" x14ac:dyDescent="0.35">
      <c r="A345" t="s">
        <v>45</v>
      </c>
      <c r="B345" t="s">
        <v>200</v>
      </c>
    </row>
    <row r="346" spans="1:2" x14ac:dyDescent="0.35">
      <c r="A346" t="s">
        <v>46</v>
      </c>
      <c r="B346" t="s">
        <v>194</v>
      </c>
    </row>
    <row r="347" spans="1:2" x14ac:dyDescent="0.35">
      <c r="A347" t="s">
        <v>46</v>
      </c>
      <c r="B347" t="s">
        <v>195</v>
      </c>
    </row>
    <row r="348" spans="1:2" x14ac:dyDescent="0.35">
      <c r="A348" t="s">
        <v>46</v>
      </c>
      <c r="B348" t="s">
        <v>196</v>
      </c>
    </row>
    <row r="349" spans="1:2" x14ac:dyDescent="0.35">
      <c r="A349" t="s">
        <v>46</v>
      </c>
      <c r="B349" t="s">
        <v>197</v>
      </c>
    </row>
    <row r="350" spans="1:2" x14ac:dyDescent="0.35">
      <c r="A350" t="s">
        <v>46</v>
      </c>
      <c r="B350" t="s">
        <v>198</v>
      </c>
    </row>
    <row r="351" spans="1:2" x14ac:dyDescent="0.35">
      <c r="A351" t="s">
        <v>46</v>
      </c>
      <c r="B351" t="s">
        <v>199</v>
      </c>
    </row>
    <row r="352" spans="1:2" x14ac:dyDescent="0.35">
      <c r="A352" t="s">
        <v>46</v>
      </c>
      <c r="B352" t="s">
        <v>187</v>
      </c>
    </row>
    <row r="353" spans="1:2" x14ac:dyDescent="0.35">
      <c r="A353" t="s">
        <v>46</v>
      </c>
      <c r="B353" t="s">
        <v>188</v>
      </c>
    </row>
    <row r="354" spans="1:2" x14ac:dyDescent="0.35">
      <c r="A354" t="s">
        <v>46</v>
      </c>
      <c r="B354" t="s">
        <v>189</v>
      </c>
    </row>
    <row r="355" spans="1:2" x14ac:dyDescent="0.35">
      <c r="A355" t="s">
        <v>46</v>
      </c>
      <c r="B355" t="s">
        <v>190</v>
      </c>
    </row>
    <row r="356" spans="1:2" x14ac:dyDescent="0.35">
      <c r="A356" t="s">
        <v>46</v>
      </c>
      <c r="B356" t="s">
        <v>191</v>
      </c>
    </row>
    <row r="357" spans="1:2" x14ac:dyDescent="0.35">
      <c r="A357" t="s">
        <v>46</v>
      </c>
      <c r="B357" t="s">
        <v>192</v>
      </c>
    </row>
    <row r="358" spans="1:2" x14ac:dyDescent="0.35">
      <c r="A358" t="s">
        <v>46</v>
      </c>
      <c r="B358" t="s">
        <v>163</v>
      </c>
    </row>
    <row r="359" spans="1:2" x14ac:dyDescent="0.35">
      <c r="A359" t="s">
        <v>46</v>
      </c>
      <c r="B359" t="s">
        <v>193</v>
      </c>
    </row>
    <row r="360" spans="1:2" x14ac:dyDescent="0.35">
      <c r="A360" t="s">
        <v>46</v>
      </c>
      <c r="B360" t="s">
        <v>201</v>
      </c>
    </row>
    <row r="361" spans="1:2" x14ac:dyDescent="0.35">
      <c r="A361" t="s">
        <v>46</v>
      </c>
      <c r="B361" t="s">
        <v>202</v>
      </c>
    </row>
    <row r="362" spans="1:2" x14ac:dyDescent="0.35">
      <c r="A362" t="s">
        <v>46</v>
      </c>
      <c r="B362" t="s">
        <v>203</v>
      </c>
    </row>
    <row r="363" spans="1:2" x14ac:dyDescent="0.35">
      <c r="A363" t="s">
        <v>46</v>
      </c>
      <c r="B363" t="s">
        <v>164</v>
      </c>
    </row>
    <row r="364" spans="1:2" x14ac:dyDescent="0.35">
      <c r="A364" t="s">
        <v>46</v>
      </c>
      <c r="B364" t="s">
        <v>200</v>
      </c>
    </row>
    <row r="365" spans="1:2" x14ac:dyDescent="0.35">
      <c r="A365" t="s">
        <v>143</v>
      </c>
      <c r="B365" t="s">
        <v>194</v>
      </c>
    </row>
    <row r="366" spans="1:2" x14ac:dyDescent="0.35">
      <c r="A366" t="s">
        <v>143</v>
      </c>
      <c r="B366" t="s">
        <v>195</v>
      </c>
    </row>
    <row r="367" spans="1:2" x14ac:dyDescent="0.35">
      <c r="A367" t="s">
        <v>143</v>
      </c>
      <c r="B367" t="s">
        <v>196</v>
      </c>
    </row>
    <row r="368" spans="1:2" x14ac:dyDescent="0.35">
      <c r="A368" t="s">
        <v>143</v>
      </c>
      <c r="B368" t="s">
        <v>197</v>
      </c>
    </row>
    <row r="369" spans="1:2" x14ac:dyDescent="0.35">
      <c r="A369" t="s">
        <v>143</v>
      </c>
      <c r="B369" t="s">
        <v>198</v>
      </c>
    </row>
    <row r="370" spans="1:2" x14ac:dyDescent="0.35">
      <c r="A370" t="s">
        <v>143</v>
      </c>
      <c r="B370" t="s">
        <v>199</v>
      </c>
    </row>
    <row r="371" spans="1:2" x14ac:dyDescent="0.35">
      <c r="A371" t="s">
        <v>143</v>
      </c>
      <c r="B371" t="s">
        <v>187</v>
      </c>
    </row>
    <row r="372" spans="1:2" x14ac:dyDescent="0.35">
      <c r="A372" t="s">
        <v>143</v>
      </c>
      <c r="B372" t="s">
        <v>188</v>
      </c>
    </row>
    <row r="373" spans="1:2" x14ac:dyDescent="0.35">
      <c r="A373" t="s">
        <v>143</v>
      </c>
      <c r="B373" t="s">
        <v>189</v>
      </c>
    </row>
    <row r="374" spans="1:2" x14ac:dyDescent="0.35">
      <c r="A374" t="s">
        <v>143</v>
      </c>
      <c r="B374" t="s">
        <v>190</v>
      </c>
    </row>
    <row r="375" spans="1:2" x14ac:dyDescent="0.35">
      <c r="A375" t="s">
        <v>143</v>
      </c>
      <c r="B375" t="s">
        <v>191</v>
      </c>
    </row>
    <row r="376" spans="1:2" x14ac:dyDescent="0.35">
      <c r="A376" t="s">
        <v>143</v>
      </c>
      <c r="B376" t="s">
        <v>192</v>
      </c>
    </row>
    <row r="377" spans="1:2" x14ac:dyDescent="0.35">
      <c r="A377" t="s">
        <v>143</v>
      </c>
      <c r="B377" t="s">
        <v>163</v>
      </c>
    </row>
    <row r="378" spans="1:2" x14ac:dyDescent="0.35">
      <c r="A378" t="s">
        <v>143</v>
      </c>
      <c r="B378" t="s">
        <v>193</v>
      </c>
    </row>
    <row r="379" spans="1:2" x14ac:dyDescent="0.35">
      <c r="A379" t="s">
        <v>143</v>
      </c>
      <c r="B379" t="s">
        <v>201</v>
      </c>
    </row>
    <row r="380" spans="1:2" x14ac:dyDescent="0.35">
      <c r="A380" t="s">
        <v>143</v>
      </c>
      <c r="B380" t="s">
        <v>202</v>
      </c>
    </row>
    <row r="381" spans="1:2" x14ac:dyDescent="0.35">
      <c r="A381" t="s">
        <v>143</v>
      </c>
      <c r="B381" t="s">
        <v>203</v>
      </c>
    </row>
    <row r="382" spans="1:2" x14ac:dyDescent="0.35">
      <c r="A382" t="s">
        <v>143</v>
      </c>
      <c r="B382" t="s">
        <v>164</v>
      </c>
    </row>
    <row r="383" spans="1:2" x14ac:dyDescent="0.35">
      <c r="A383" t="s">
        <v>143</v>
      </c>
      <c r="B383" t="s">
        <v>200</v>
      </c>
    </row>
    <row r="384" spans="1:2" x14ac:dyDescent="0.35">
      <c r="A384" t="s">
        <v>223</v>
      </c>
      <c r="B384" t="s">
        <v>194</v>
      </c>
    </row>
    <row r="385" spans="1:2" x14ac:dyDescent="0.35">
      <c r="A385" t="s">
        <v>223</v>
      </c>
      <c r="B385" t="s">
        <v>187</v>
      </c>
    </row>
    <row r="386" spans="1:2" x14ac:dyDescent="0.35">
      <c r="A386" t="s">
        <v>225</v>
      </c>
      <c r="B386" t="s">
        <v>196</v>
      </c>
    </row>
    <row r="387" spans="1:2" x14ac:dyDescent="0.35">
      <c r="A387" t="s">
        <v>225</v>
      </c>
      <c r="B387" t="s">
        <v>189</v>
      </c>
    </row>
    <row r="388" spans="1:2" x14ac:dyDescent="0.35">
      <c r="A388" t="s">
        <v>226</v>
      </c>
      <c r="B388" t="s">
        <v>196</v>
      </c>
    </row>
    <row r="389" spans="1:2" x14ac:dyDescent="0.35">
      <c r="A389" t="s">
        <v>226</v>
      </c>
      <c r="B389" t="s">
        <v>189</v>
      </c>
    </row>
    <row r="390" spans="1:2" x14ac:dyDescent="0.35">
      <c r="A390" t="s">
        <v>226</v>
      </c>
      <c r="B390" t="s">
        <v>163</v>
      </c>
    </row>
    <row r="391" spans="1:2" x14ac:dyDescent="0.35">
      <c r="A391" t="s">
        <v>226</v>
      </c>
      <c r="B391" t="s">
        <v>193</v>
      </c>
    </row>
    <row r="392" spans="1:2" x14ac:dyDescent="0.35">
      <c r="A392" t="s">
        <v>227</v>
      </c>
      <c r="B392" t="s">
        <v>194</v>
      </c>
    </row>
    <row r="393" spans="1:2" x14ac:dyDescent="0.35">
      <c r="A393" t="s">
        <v>227</v>
      </c>
      <c r="B393" t="s">
        <v>195</v>
      </c>
    </row>
    <row r="394" spans="1:2" x14ac:dyDescent="0.35">
      <c r="A394" t="s">
        <v>227</v>
      </c>
      <c r="B394" t="s">
        <v>196</v>
      </c>
    </row>
    <row r="395" spans="1:2" x14ac:dyDescent="0.35">
      <c r="A395" t="s">
        <v>227</v>
      </c>
      <c r="B395" t="s">
        <v>197</v>
      </c>
    </row>
    <row r="396" spans="1:2" x14ac:dyDescent="0.35">
      <c r="A396" t="s">
        <v>227</v>
      </c>
      <c r="B396" t="s">
        <v>198</v>
      </c>
    </row>
    <row r="397" spans="1:2" x14ac:dyDescent="0.35">
      <c r="A397" t="s">
        <v>227</v>
      </c>
      <c r="B397" t="s">
        <v>199</v>
      </c>
    </row>
    <row r="398" spans="1:2" x14ac:dyDescent="0.35">
      <c r="A398" t="s">
        <v>227</v>
      </c>
      <c r="B398" t="s">
        <v>187</v>
      </c>
    </row>
    <row r="399" spans="1:2" x14ac:dyDescent="0.35">
      <c r="A399" t="s">
        <v>227</v>
      </c>
      <c r="B399" t="s">
        <v>188</v>
      </c>
    </row>
    <row r="400" spans="1:2" x14ac:dyDescent="0.35">
      <c r="A400" t="s">
        <v>227</v>
      </c>
      <c r="B400" t="s">
        <v>189</v>
      </c>
    </row>
    <row r="401" spans="1:2" x14ac:dyDescent="0.35">
      <c r="A401" t="s">
        <v>227</v>
      </c>
      <c r="B401" t="s">
        <v>190</v>
      </c>
    </row>
    <row r="402" spans="1:2" x14ac:dyDescent="0.35">
      <c r="A402" t="s">
        <v>227</v>
      </c>
      <c r="B402" t="s">
        <v>191</v>
      </c>
    </row>
    <row r="403" spans="1:2" x14ac:dyDescent="0.35">
      <c r="A403" t="s">
        <v>227</v>
      </c>
      <c r="B403" t="s">
        <v>192</v>
      </c>
    </row>
    <row r="404" spans="1:2" x14ac:dyDescent="0.35">
      <c r="A404" t="s">
        <v>227</v>
      </c>
      <c r="B404" t="s">
        <v>163</v>
      </c>
    </row>
    <row r="405" spans="1:2" x14ac:dyDescent="0.35">
      <c r="A405" t="s">
        <v>227</v>
      </c>
      <c r="B405" t="s">
        <v>193</v>
      </c>
    </row>
    <row r="406" spans="1:2" x14ac:dyDescent="0.35">
      <c r="A406" t="s">
        <v>227</v>
      </c>
      <c r="B406" t="s">
        <v>201</v>
      </c>
    </row>
    <row r="407" spans="1:2" x14ac:dyDescent="0.35">
      <c r="A407" t="s">
        <v>227</v>
      </c>
      <c r="B407" t="s">
        <v>164</v>
      </c>
    </row>
    <row r="408" spans="1:2" x14ac:dyDescent="0.35">
      <c r="A408" t="s">
        <v>227</v>
      </c>
      <c r="B408" t="s">
        <v>200</v>
      </c>
    </row>
    <row r="409" spans="1:2" x14ac:dyDescent="0.35">
      <c r="A409" t="s">
        <v>227</v>
      </c>
      <c r="B409" t="s">
        <v>205</v>
      </c>
    </row>
    <row r="410" spans="1:2" x14ac:dyDescent="0.35">
      <c r="A410" t="s">
        <v>227</v>
      </c>
      <c r="B410" t="s">
        <v>206</v>
      </c>
    </row>
    <row r="411" spans="1:2" x14ac:dyDescent="0.35">
      <c r="A411" t="s">
        <v>227</v>
      </c>
      <c r="B411" t="s">
        <v>207</v>
      </c>
    </row>
    <row r="412" spans="1:2" x14ac:dyDescent="0.35">
      <c r="A412" t="s">
        <v>227</v>
      </c>
      <c r="B412" t="s">
        <v>208</v>
      </c>
    </row>
    <row r="413" spans="1:2" x14ac:dyDescent="0.35">
      <c r="A413" t="s">
        <v>227</v>
      </c>
      <c r="B413" t="s">
        <v>209</v>
      </c>
    </row>
    <row r="414" spans="1:2" x14ac:dyDescent="0.35">
      <c r="A414" t="s">
        <v>227</v>
      </c>
      <c r="B414" t="s">
        <v>210</v>
      </c>
    </row>
    <row r="415" spans="1:2" x14ac:dyDescent="0.35">
      <c r="A415" t="s">
        <v>227</v>
      </c>
      <c r="B415" t="s">
        <v>211</v>
      </c>
    </row>
    <row r="416" spans="1:2" x14ac:dyDescent="0.35">
      <c r="A416" t="s">
        <v>228</v>
      </c>
      <c r="B416" t="s">
        <v>197</v>
      </c>
    </row>
    <row r="417" spans="1:2" x14ac:dyDescent="0.35">
      <c r="A417" t="s">
        <v>228</v>
      </c>
      <c r="B417" t="s">
        <v>190</v>
      </c>
    </row>
    <row r="418" spans="1:2" x14ac:dyDescent="0.35">
      <c r="A418" t="s">
        <v>229</v>
      </c>
      <c r="B418" t="s">
        <v>198</v>
      </c>
    </row>
    <row r="419" spans="1:2" x14ac:dyDescent="0.35">
      <c r="A419" t="s">
        <v>229</v>
      </c>
      <c r="B419" t="s">
        <v>191</v>
      </c>
    </row>
    <row r="420" spans="1:2" x14ac:dyDescent="0.35">
      <c r="A420" t="s">
        <v>230</v>
      </c>
      <c r="B420" t="s">
        <v>199</v>
      </c>
    </row>
    <row r="421" spans="1:2" x14ac:dyDescent="0.35">
      <c r="A421" t="s">
        <v>230</v>
      </c>
      <c r="B421" t="s">
        <v>192</v>
      </c>
    </row>
    <row r="422" spans="1:2" x14ac:dyDescent="0.35">
      <c r="A422" t="s">
        <v>230</v>
      </c>
      <c r="B422" t="s">
        <v>201</v>
      </c>
    </row>
    <row r="423" spans="1:2" x14ac:dyDescent="0.35">
      <c r="A423" t="s">
        <v>231</v>
      </c>
      <c r="B423" t="s">
        <v>199</v>
      </c>
    </row>
    <row r="424" spans="1:2" x14ac:dyDescent="0.35">
      <c r="A424" t="s">
        <v>231</v>
      </c>
      <c r="B424" t="s">
        <v>192</v>
      </c>
    </row>
    <row r="425" spans="1:2" x14ac:dyDescent="0.35">
      <c r="A425" t="s">
        <v>231</v>
      </c>
      <c r="B425" t="s">
        <v>201</v>
      </c>
    </row>
    <row r="426" spans="1:2" x14ac:dyDescent="0.35">
      <c r="A426" t="s">
        <v>232</v>
      </c>
      <c r="B426" t="s">
        <v>199</v>
      </c>
    </row>
    <row r="427" spans="1:2" x14ac:dyDescent="0.35">
      <c r="A427" t="s">
        <v>232</v>
      </c>
      <c r="B427" t="s">
        <v>192</v>
      </c>
    </row>
    <row r="428" spans="1:2" x14ac:dyDescent="0.35">
      <c r="A428" t="s">
        <v>232</v>
      </c>
      <c r="B428" t="s">
        <v>201</v>
      </c>
    </row>
    <row r="429" spans="1:2" x14ac:dyDescent="0.35">
      <c r="A429" t="s">
        <v>233</v>
      </c>
      <c r="B429" t="s">
        <v>199</v>
      </c>
    </row>
    <row r="430" spans="1:2" x14ac:dyDescent="0.35">
      <c r="A430" t="s">
        <v>233</v>
      </c>
      <c r="B430" t="s">
        <v>192</v>
      </c>
    </row>
    <row r="431" spans="1:2" x14ac:dyDescent="0.35">
      <c r="A431" t="s">
        <v>233</v>
      </c>
      <c r="B431" t="s">
        <v>201</v>
      </c>
    </row>
    <row r="432" spans="1:2" x14ac:dyDescent="0.35">
      <c r="A432" t="s">
        <v>234</v>
      </c>
      <c r="B432" t="s">
        <v>187</v>
      </c>
    </row>
    <row r="433" spans="1:2" x14ac:dyDescent="0.35">
      <c r="A433" t="s">
        <v>236</v>
      </c>
      <c r="B433" t="s">
        <v>188</v>
      </c>
    </row>
    <row r="434" spans="1:2" x14ac:dyDescent="0.35">
      <c r="A434" t="s">
        <v>237</v>
      </c>
      <c r="B434" t="s">
        <v>189</v>
      </c>
    </row>
    <row r="435" spans="1:2" x14ac:dyDescent="0.35">
      <c r="A435" t="s">
        <v>240</v>
      </c>
      <c r="B435" t="s">
        <v>190</v>
      </c>
    </row>
    <row r="436" spans="1:2" x14ac:dyDescent="0.35">
      <c r="A436" t="s">
        <v>243</v>
      </c>
      <c r="B436" t="s">
        <v>191</v>
      </c>
    </row>
    <row r="437" spans="1:2" x14ac:dyDescent="0.35">
      <c r="A437" t="s">
        <v>245</v>
      </c>
      <c r="B437" t="s">
        <v>201</v>
      </c>
    </row>
    <row r="438" spans="1:2" x14ac:dyDescent="0.35">
      <c r="A438" t="s">
        <v>245</v>
      </c>
      <c r="B438" t="s">
        <v>202</v>
      </c>
    </row>
    <row r="439" spans="1:2" x14ac:dyDescent="0.35">
      <c r="A439" t="s">
        <v>245</v>
      </c>
      <c r="B439" t="s">
        <v>203</v>
      </c>
    </row>
    <row r="440" spans="1:2" x14ac:dyDescent="0.35">
      <c r="A440" t="s">
        <v>249</v>
      </c>
      <c r="B440" t="s">
        <v>194</v>
      </c>
    </row>
    <row r="441" spans="1:2" x14ac:dyDescent="0.35">
      <c r="A441" t="s">
        <v>249</v>
      </c>
      <c r="B441" t="s">
        <v>195</v>
      </c>
    </row>
    <row r="442" spans="1:2" x14ac:dyDescent="0.35">
      <c r="A442" t="s">
        <v>249</v>
      </c>
      <c r="B442" t="s">
        <v>196</v>
      </c>
    </row>
    <row r="443" spans="1:2" x14ac:dyDescent="0.35">
      <c r="A443" t="s">
        <v>249</v>
      </c>
      <c r="B443" t="s">
        <v>197</v>
      </c>
    </row>
    <row r="444" spans="1:2" x14ac:dyDescent="0.35">
      <c r="A444" t="s">
        <v>249</v>
      </c>
      <c r="B444" t="s">
        <v>198</v>
      </c>
    </row>
    <row r="445" spans="1:2" x14ac:dyDescent="0.35">
      <c r="A445" t="s">
        <v>249</v>
      </c>
      <c r="B445" t="s">
        <v>199</v>
      </c>
    </row>
    <row r="446" spans="1:2" x14ac:dyDescent="0.35">
      <c r="A446" t="s">
        <v>249</v>
      </c>
      <c r="B446" t="s">
        <v>187</v>
      </c>
    </row>
    <row r="447" spans="1:2" x14ac:dyDescent="0.35">
      <c r="A447" t="s">
        <v>249</v>
      </c>
      <c r="B447" t="s">
        <v>188</v>
      </c>
    </row>
    <row r="448" spans="1:2" x14ac:dyDescent="0.35">
      <c r="A448" t="s">
        <v>249</v>
      </c>
      <c r="B448" t="s">
        <v>189</v>
      </c>
    </row>
    <row r="449" spans="1:2" x14ac:dyDescent="0.35">
      <c r="A449" t="s">
        <v>249</v>
      </c>
      <c r="B449" t="s">
        <v>190</v>
      </c>
    </row>
    <row r="450" spans="1:2" x14ac:dyDescent="0.35">
      <c r="A450" t="s">
        <v>249</v>
      </c>
      <c r="B450" t="s">
        <v>191</v>
      </c>
    </row>
    <row r="451" spans="1:2" x14ac:dyDescent="0.35">
      <c r="A451" t="s">
        <v>249</v>
      </c>
      <c r="B451" t="s">
        <v>192</v>
      </c>
    </row>
    <row r="452" spans="1:2" x14ac:dyDescent="0.35">
      <c r="A452" t="s">
        <v>249</v>
      </c>
      <c r="B452" t="s">
        <v>163</v>
      </c>
    </row>
    <row r="453" spans="1:2" x14ac:dyDescent="0.35">
      <c r="A453" t="s">
        <v>249</v>
      </c>
      <c r="B453" t="s">
        <v>193</v>
      </c>
    </row>
    <row r="454" spans="1:2" x14ac:dyDescent="0.35">
      <c r="A454" t="s">
        <v>249</v>
      </c>
      <c r="B454" t="s">
        <v>201</v>
      </c>
    </row>
    <row r="455" spans="1:2" x14ac:dyDescent="0.35">
      <c r="A455" t="s">
        <v>249</v>
      </c>
      <c r="B455" t="s">
        <v>164</v>
      </c>
    </row>
    <row r="456" spans="1:2" x14ac:dyDescent="0.35">
      <c r="A456" t="s">
        <v>249</v>
      </c>
      <c r="B456" t="s">
        <v>200</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A52B-5567-4C1C-87B6-E35819554A5F}">
  <sheetPr codeName="Tabelle12"/>
  <dimension ref="A1:C379"/>
  <sheetViews>
    <sheetView topLeftCell="A34" workbookViewId="0">
      <selection activeCell="C44" sqref="C44"/>
    </sheetView>
  </sheetViews>
  <sheetFormatPr baseColWidth="10" defaultRowHeight="14.5" x14ac:dyDescent="0.35"/>
  <cols>
    <col min="1" max="1" width="38" bestFit="1" customWidth="1"/>
    <col min="2" max="2" width="34.54296875" bestFit="1" customWidth="1"/>
    <col min="4" max="4" width="34.54296875" bestFit="1" customWidth="1"/>
  </cols>
  <sheetData>
    <row r="1" spans="1:3" x14ac:dyDescent="0.35">
      <c r="A1" s="6" t="s">
        <v>360</v>
      </c>
      <c r="B1" s="6" t="s">
        <v>345</v>
      </c>
    </row>
    <row r="2" spans="1:3" x14ac:dyDescent="0.35">
      <c r="A2" t="s">
        <v>18</v>
      </c>
      <c r="B2" t="s">
        <v>210</v>
      </c>
      <c r="C2" t="s">
        <v>361</v>
      </c>
    </row>
    <row r="3" spans="1:3" x14ac:dyDescent="0.35">
      <c r="A3" t="s">
        <v>19</v>
      </c>
      <c r="B3" t="s">
        <v>210</v>
      </c>
      <c r="C3" t="s">
        <v>361</v>
      </c>
    </row>
    <row r="4" spans="1:3" x14ac:dyDescent="0.35">
      <c r="A4" t="s">
        <v>20</v>
      </c>
      <c r="B4" t="s">
        <v>210</v>
      </c>
      <c r="C4" t="s">
        <v>361</v>
      </c>
    </row>
    <row r="5" spans="1:3" x14ac:dyDescent="0.35">
      <c r="A5" t="s">
        <v>178</v>
      </c>
      <c r="B5" t="s">
        <v>210</v>
      </c>
      <c r="C5" t="s">
        <v>361</v>
      </c>
    </row>
    <row r="6" spans="1:3" x14ac:dyDescent="0.35">
      <c r="A6" t="s">
        <v>176</v>
      </c>
      <c r="B6" t="s">
        <v>210</v>
      </c>
      <c r="C6" t="s">
        <v>361</v>
      </c>
    </row>
    <row r="7" spans="1:3" x14ac:dyDescent="0.35">
      <c r="A7" t="s">
        <v>182</v>
      </c>
      <c r="B7" t="s">
        <v>210</v>
      </c>
      <c r="C7" t="s">
        <v>361</v>
      </c>
    </row>
    <row r="8" spans="1:3" x14ac:dyDescent="0.35">
      <c r="A8" t="s">
        <v>18</v>
      </c>
      <c r="B8" t="s">
        <v>211</v>
      </c>
      <c r="C8" t="s">
        <v>361</v>
      </c>
    </row>
    <row r="9" spans="1:3" x14ac:dyDescent="0.35">
      <c r="A9" t="s">
        <v>19</v>
      </c>
      <c r="B9" t="s">
        <v>211</v>
      </c>
      <c r="C9" t="s">
        <v>361</v>
      </c>
    </row>
    <row r="10" spans="1:3" x14ac:dyDescent="0.35">
      <c r="A10" t="s">
        <v>20</v>
      </c>
      <c r="B10" t="s">
        <v>211</v>
      </c>
      <c r="C10" t="s">
        <v>361</v>
      </c>
    </row>
    <row r="11" spans="1:3" x14ac:dyDescent="0.35">
      <c r="A11" t="s">
        <v>178</v>
      </c>
      <c r="B11" t="s">
        <v>211</v>
      </c>
      <c r="C11" t="s">
        <v>361</v>
      </c>
    </row>
    <row r="12" spans="1:3" x14ac:dyDescent="0.35">
      <c r="A12" t="s">
        <v>176</v>
      </c>
      <c r="B12" t="s">
        <v>211</v>
      </c>
      <c r="C12" t="s">
        <v>361</v>
      </c>
    </row>
    <row r="13" spans="1:3" x14ac:dyDescent="0.35">
      <c r="A13" t="s">
        <v>182</v>
      </c>
      <c r="B13" t="s">
        <v>211</v>
      </c>
      <c r="C13" t="s">
        <v>361</v>
      </c>
    </row>
    <row r="14" spans="1:3" x14ac:dyDescent="0.35">
      <c r="A14" t="s">
        <v>18</v>
      </c>
      <c r="B14" t="s">
        <v>208</v>
      </c>
      <c r="C14" t="s">
        <v>361</v>
      </c>
    </row>
    <row r="15" spans="1:3" x14ac:dyDescent="0.35">
      <c r="A15" t="s">
        <v>19</v>
      </c>
      <c r="B15" t="s">
        <v>208</v>
      </c>
      <c r="C15" t="s">
        <v>361</v>
      </c>
    </row>
    <row r="16" spans="1:3" x14ac:dyDescent="0.35">
      <c r="A16" t="s">
        <v>20</v>
      </c>
      <c r="B16" t="s">
        <v>208</v>
      </c>
      <c r="C16" t="s">
        <v>361</v>
      </c>
    </row>
    <row r="17" spans="1:3" x14ac:dyDescent="0.35">
      <c r="A17" t="s">
        <v>178</v>
      </c>
      <c r="B17" t="s">
        <v>208</v>
      </c>
      <c r="C17" t="s">
        <v>361</v>
      </c>
    </row>
    <row r="18" spans="1:3" x14ac:dyDescent="0.35">
      <c r="A18" t="s">
        <v>176</v>
      </c>
      <c r="B18" t="s">
        <v>208</v>
      </c>
      <c r="C18" t="s">
        <v>361</v>
      </c>
    </row>
    <row r="19" spans="1:3" x14ac:dyDescent="0.35">
      <c r="A19" t="s">
        <v>182</v>
      </c>
      <c r="B19" t="s">
        <v>208</v>
      </c>
      <c r="C19" t="s">
        <v>361</v>
      </c>
    </row>
    <row r="20" spans="1:3" x14ac:dyDescent="0.35">
      <c r="A20" t="s">
        <v>18</v>
      </c>
      <c r="B20" t="s">
        <v>209</v>
      </c>
      <c r="C20" t="s">
        <v>361</v>
      </c>
    </row>
    <row r="21" spans="1:3" x14ac:dyDescent="0.35">
      <c r="A21" t="s">
        <v>19</v>
      </c>
      <c r="B21" t="s">
        <v>209</v>
      </c>
      <c r="C21" t="s">
        <v>361</v>
      </c>
    </row>
    <row r="22" spans="1:3" x14ac:dyDescent="0.35">
      <c r="A22" t="s">
        <v>20</v>
      </c>
      <c r="B22" t="s">
        <v>209</v>
      </c>
      <c r="C22" t="s">
        <v>361</v>
      </c>
    </row>
    <row r="23" spans="1:3" x14ac:dyDescent="0.35">
      <c r="A23" t="s">
        <v>178</v>
      </c>
      <c r="B23" t="s">
        <v>209</v>
      </c>
      <c r="C23" t="s">
        <v>361</v>
      </c>
    </row>
    <row r="24" spans="1:3" x14ac:dyDescent="0.35">
      <c r="A24" t="s">
        <v>176</v>
      </c>
      <c r="B24" t="s">
        <v>209</v>
      </c>
      <c r="C24" t="s">
        <v>361</v>
      </c>
    </row>
    <row r="25" spans="1:3" x14ac:dyDescent="0.35">
      <c r="A25" t="s">
        <v>182</v>
      </c>
      <c r="B25" t="s">
        <v>209</v>
      </c>
      <c r="C25" t="s">
        <v>361</v>
      </c>
    </row>
    <row r="26" spans="1:3" x14ac:dyDescent="0.35">
      <c r="A26" t="s">
        <v>18</v>
      </c>
      <c r="B26" t="s">
        <v>204</v>
      </c>
      <c r="C26" t="s">
        <v>361</v>
      </c>
    </row>
    <row r="27" spans="1:3" x14ac:dyDescent="0.35">
      <c r="A27" t="s">
        <v>19</v>
      </c>
      <c r="B27" t="s">
        <v>204</v>
      </c>
      <c r="C27" t="s">
        <v>361</v>
      </c>
    </row>
    <row r="28" spans="1:3" x14ac:dyDescent="0.35">
      <c r="A28" t="s">
        <v>20</v>
      </c>
      <c r="B28" t="s">
        <v>204</v>
      </c>
      <c r="C28" t="s">
        <v>361</v>
      </c>
    </row>
    <row r="29" spans="1:3" x14ac:dyDescent="0.35">
      <c r="A29" t="s">
        <v>178</v>
      </c>
      <c r="B29" t="s">
        <v>204</v>
      </c>
      <c r="C29" t="s">
        <v>361</v>
      </c>
    </row>
    <row r="30" spans="1:3" x14ac:dyDescent="0.35">
      <c r="A30" t="s">
        <v>176</v>
      </c>
      <c r="B30" t="s">
        <v>204</v>
      </c>
      <c r="C30" t="s">
        <v>361</v>
      </c>
    </row>
    <row r="31" spans="1:3" x14ac:dyDescent="0.35">
      <c r="A31" t="s">
        <v>182</v>
      </c>
      <c r="B31" t="s">
        <v>204</v>
      </c>
      <c r="C31" t="s">
        <v>361</v>
      </c>
    </row>
    <row r="32" spans="1:3" x14ac:dyDescent="0.35">
      <c r="A32" t="s">
        <v>18</v>
      </c>
      <c r="B32" t="s">
        <v>186</v>
      </c>
      <c r="C32" t="s">
        <v>361</v>
      </c>
    </row>
    <row r="33" spans="1:3" x14ac:dyDescent="0.35">
      <c r="A33" t="s">
        <v>175</v>
      </c>
      <c r="B33" t="s">
        <v>186</v>
      </c>
      <c r="C33" t="s">
        <v>361</v>
      </c>
    </row>
    <row r="34" spans="1:3" x14ac:dyDescent="0.35">
      <c r="A34" t="s">
        <v>170</v>
      </c>
      <c r="B34" t="s">
        <v>186</v>
      </c>
      <c r="C34" t="s">
        <v>361</v>
      </c>
    </row>
    <row r="35" spans="1:3" x14ac:dyDescent="0.35">
      <c r="A35" t="s">
        <v>19</v>
      </c>
      <c r="B35" t="s">
        <v>186</v>
      </c>
      <c r="C35" t="s">
        <v>361</v>
      </c>
    </row>
    <row r="36" spans="1:3" x14ac:dyDescent="0.35">
      <c r="A36" t="s">
        <v>23</v>
      </c>
      <c r="B36" t="s">
        <v>186</v>
      </c>
      <c r="C36" t="s">
        <v>361</v>
      </c>
    </row>
    <row r="37" spans="1:3" x14ac:dyDescent="0.35">
      <c r="A37" t="s">
        <v>20</v>
      </c>
      <c r="B37" t="s">
        <v>186</v>
      </c>
      <c r="C37" t="s">
        <v>361</v>
      </c>
    </row>
    <row r="38" spans="1:3" x14ac:dyDescent="0.35">
      <c r="A38" t="s">
        <v>178</v>
      </c>
      <c r="B38" t="s">
        <v>186</v>
      </c>
      <c r="C38" t="s">
        <v>361</v>
      </c>
    </row>
    <row r="39" spans="1:3" x14ac:dyDescent="0.35">
      <c r="A39" t="s">
        <v>176</v>
      </c>
      <c r="B39" t="s">
        <v>186</v>
      </c>
      <c r="C39" t="s">
        <v>361</v>
      </c>
    </row>
    <row r="40" spans="1:3" x14ac:dyDescent="0.35">
      <c r="A40" t="s">
        <v>177</v>
      </c>
      <c r="B40" t="s">
        <v>186</v>
      </c>
      <c r="C40" t="s">
        <v>361</v>
      </c>
    </row>
    <row r="41" spans="1:3" x14ac:dyDescent="0.35">
      <c r="A41" t="s">
        <v>180</v>
      </c>
      <c r="B41" t="s">
        <v>186</v>
      </c>
      <c r="C41" t="s">
        <v>361</v>
      </c>
    </row>
    <row r="42" spans="1:3" x14ac:dyDescent="0.35">
      <c r="A42" t="s">
        <v>182</v>
      </c>
      <c r="B42" t="s">
        <v>186</v>
      </c>
      <c r="C42" t="s">
        <v>361</v>
      </c>
    </row>
    <row r="43" spans="1:3" x14ac:dyDescent="0.35">
      <c r="A43" t="s">
        <v>285</v>
      </c>
      <c r="B43" t="s">
        <v>186</v>
      </c>
      <c r="C43" t="s">
        <v>361</v>
      </c>
    </row>
    <row r="44" spans="1:3" x14ac:dyDescent="0.35">
      <c r="A44" t="s">
        <v>18</v>
      </c>
      <c r="B44" t="s">
        <v>201</v>
      </c>
    </row>
    <row r="45" spans="1:3" x14ac:dyDescent="0.35">
      <c r="A45" t="s">
        <v>175</v>
      </c>
      <c r="B45" t="s">
        <v>201</v>
      </c>
    </row>
    <row r="46" spans="1:3" x14ac:dyDescent="0.35">
      <c r="A46" t="s">
        <v>170</v>
      </c>
      <c r="B46" t="s">
        <v>201</v>
      </c>
    </row>
    <row r="47" spans="1:3" x14ac:dyDescent="0.35">
      <c r="A47" t="s">
        <v>19</v>
      </c>
      <c r="B47" t="s">
        <v>201</v>
      </c>
    </row>
    <row r="48" spans="1:3" x14ac:dyDescent="0.35">
      <c r="A48" t="s">
        <v>23</v>
      </c>
      <c r="B48" t="s">
        <v>201</v>
      </c>
    </row>
    <row r="49" spans="1:2" x14ac:dyDescent="0.35">
      <c r="A49" t="s">
        <v>20</v>
      </c>
      <c r="B49" t="s">
        <v>201</v>
      </c>
    </row>
    <row r="50" spans="1:2" x14ac:dyDescent="0.35">
      <c r="A50" t="s">
        <v>178</v>
      </c>
      <c r="B50" t="s">
        <v>201</v>
      </c>
    </row>
    <row r="51" spans="1:2" x14ac:dyDescent="0.35">
      <c r="A51" t="s">
        <v>176</v>
      </c>
      <c r="B51" t="s">
        <v>201</v>
      </c>
    </row>
    <row r="52" spans="1:2" x14ac:dyDescent="0.35">
      <c r="A52" t="s">
        <v>177</v>
      </c>
      <c r="B52" t="s">
        <v>201</v>
      </c>
    </row>
    <row r="53" spans="1:2" x14ac:dyDescent="0.35">
      <c r="A53" t="s">
        <v>174</v>
      </c>
      <c r="B53" t="s">
        <v>201</v>
      </c>
    </row>
    <row r="54" spans="1:2" x14ac:dyDescent="0.35">
      <c r="A54" t="s">
        <v>180</v>
      </c>
      <c r="B54" t="s">
        <v>201</v>
      </c>
    </row>
    <row r="55" spans="1:2" x14ac:dyDescent="0.35">
      <c r="A55" t="s">
        <v>182</v>
      </c>
      <c r="B55" t="s">
        <v>201</v>
      </c>
    </row>
    <row r="56" spans="1:2" x14ac:dyDescent="0.35">
      <c r="A56" t="s">
        <v>183</v>
      </c>
      <c r="B56" t="s">
        <v>201</v>
      </c>
    </row>
    <row r="57" spans="1:2" x14ac:dyDescent="0.35">
      <c r="A57" t="s">
        <v>285</v>
      </c>
      <c r="B57" t="s">
        <v>201</v>
      </c>
    </row>
    <row r="58" spans="1:2" x14ac:dyDescent="0.35">
      <c r="A58" t="s">
        <v>18</v>
      </c>
      <c r="B58" t="s">
        <v>198</v>
      </c>
    </row>
    <row r="59" spans="1:2" x14ac:dyDescent="0.35">
      <c r="A59" t="s">
        <v>175</v>
      </c>
      <c r="B59" t="s">
        <v>198</v>
      </c>
    </row>
    <row r="60" spans="1:2" x14ac:dyDescent="0.35">
      <c r="A60" t="s">
        <v>170</v>
      </c>
      <c r="B60" t="s">
        <v>198</v>
      </c>
    </row>
    <row r="61" spans="1:2" x14ac:dyDescent="0.35">
      <c r="A61" t="s">
        <v>19</v>
      </c>
      <c r="B61" t="s">
        <v>198</v>
      </c>
    </row>
    <row r="62" spans="1:2" x14ac:dyDescent="0.35">
      <c r="A62" t="s">
        <v>23</v>
      </c>
      <c r="B62" t="s">
        <v>198</v>
      </c>
    </row>
    <row r="63" spans="1:2" x14ac:dyDescent="0.35">
      <c r="A63" t="s">
        <v>20</v>
      </c>
      <c r="B63" t="s">
        <v>198</v>
      </c>
    </row>
    <row r="64" spans="1:2" x14ac:dyDescent="0.35">
      <c r="A64" t="s">
        <v>178</v>
      </c>
      <c r="B64" t="s">
        <v>198</v>
      </c>
    </row>
    <row r="65" spans="1:2" x14ac:dyDescent="0.35">
      <c r="A65" t="s">
        <v>176</v>
      </c>
      <c r="B65" t="s">
        <v>198</v>
      </c>
    </row>
    <row r="66" spans="1:2" x14ac:dyDescent="0.35">
      <c r="A66" t="s">
        <v>177</v>
      </c>
      <c r="B66" t="s">
        <v>198</v>
      </c>
    </row>
    <row r="67" spans="1:2" x14ac:dyDescent="0.35">
      <c r="A67" t="s">
        <v>174</v>
      </c>
      <c r="B67" t="s">
        <v>198</v>
      </c>
    </row>
    <row r="68" spans="1:2" x14ac:dyDescent="0.35">
      <c r="A68" t="s">
        <v>180</v>
      </c>
      <c r="B68" t="s">
        <v>198</v>
      </c>
    </row>
    <row r="69" spans="1:2" x14ac:dyDescent="0.35">
      <c r="A69" t="s">
        <v>182</v>
      </c>
      <c r="B69" t="s">
        <v>198</v>
      </c>
    </row>
    <row r="70" spans="1:2" x14ac:dyDescent="0.35">
      <c r="A70" t="s">
        <v>183</v>
      </c>
      <c r="B70" t="s">
        <v>198</v>
      </c>
    </row>
    <row r="71" spans="1:2" x14ac:dyDescent="0.35">
      <c r="A71" t="s">
        <v>285</v>
      </c>
      <c r="B71" t="s">
        <v>198</v>
      </c>
    </row>
    <row r="72" spans="1:2" x14ac:dyDescent="0.35">
      <c r="A72" t="s">
        <v>18</v>
      </c>
      <c r="B72" t="s">
        <v>184</v>
      </c>
    </row>
    <row r="73" spans="1:2" x14ac:dyDescent="0.35">
      <c r="A73" t="s">
        <v>175</v>
      </c>
      <c r="B73" t="s">
        <v>184</v>
      </c>
    </row>
    <row r="74" spans="1:2" x14ac:dyDescent="0.35">
      <c r="A74" t="s">
        <v>170</v>
      </c>
      <c r="B74" t="s">
        <v>184</v>
      </c>
    </row>
    <row r="75" spans="1:2" x14ac:dyDescent="0.35">
      <c r="A75" t="s">
        <v>19</v>
      </c>
      <c r="B75" t="s">
        <v>184</v>
      </c>
    </row>
    <row r="76" spans="1:2" x14ac:dyDescent="0.35">
      <c r="A76" t="s">
        <v>23</v>
      </c>
      <c r="B76" t="s">
        <v>184</v>
      </c>
    </row>
    <row r="77" spans="1:2" x14ac:dyDescent="0.35">
      <c r="A77" t="s">
        <v>20</v>
      </c>
      <c r="B77" t="s">
        <v>184</v>
      </c>
    </row>
    <row r="78" spans="1:2" x14ac:dyDescent="0.35">
      <c r="A78" t="s">
        <v>178</v>
      </c>
      <c r="B78" t="s">
        <v>184</v>
      </c>
    </row>
    <row r="79" spans="1:2" x14ac:dyDescent="0.35">
      <c r="A79" t="s">
        <v>176</v>
      </c>
      <c r="B79" t="s">
        <v>184</v>
      </c>
    </row>
    <row r="80" spans="1:2" x14ac:dyDescent="0.35">
      <c r="A80" t="s">
        <v>177</v>
      </c>
      <c r="B80" t="s">
        <v>184</v>
      </c>
    </row>
    <row r="81" spans="1:2" x14ac:dyDescent="0.35">
      <c r="A81" t="s">
        <v>174</v>
      </c>
      <c r="B81" t="s">
        <v>184</v>
      </c>
    </row>
    <row r="82" spans="1:2" x14ac:dyDescent="0.35">
      <c r="A82" t="s">
        <v>180</v>
      </c>
      <c r="B82" t="s">
        <v>184</v>
      </c>
    </row>
    <row r="83" spans="1:2" x14ac:dyDescent="0.35">
      <c r="A83" t="s">
        <v>182</v>
      </c>
      <c r="B83" t="s">
        <v>184</v>
      </c>
    </row>
    <row r="84" spans="1:2" x14ac:dyDescent="0.35">
      <c r="A84" t="s">
        <v>183</v>
      </c>
      <c r="B84" t="s">
        <v>184</v>
      </c>
    </row>
    <row r="85" spans="1:2" x14ac:dyDescent="0.35">
      <c r="A85" t="s">
        <v>285</v>
      </c>
      <c r="B85" t="s">
        <v>184</v>
      </c>
    </row>
    <row r="86" spans="1:2" x14ac:dyDescent="0.35">
      <c r="A86" t="s">
        <v>18</v>
      </c>
      <c r="B86" t="s">
        <v>194</v>
      </c>
    </row>
    <row r="87" spans="1:2" x14ac:dyDescent="0.35">
      <c r="A87" t="s">
        <v>175</v>
      </c>
      <c r="B87" t="s">
        <v>194</v>
      </c>
    </row>
    <row r="88" spans="1:2" x14ac:dyDescent="0.35">
      <c r="A88" t="s">
        <v>170</v>
      </c>
      <c r="B88" t="s">
        <v>194</v>
      </c>
    </row>
    <row r="89" spans="1:2" x14ac:dyDescent="0.35">
      <c r="A89" t="s">
        <v>19</v>
      </c>
      <c r="B89" t="s">
        <v>194</v>
      </c>
    </row>
    <row r="90" spans="1:2" x14ac:dyDescent="0.35">
      <c r="A90" t="s">
        <v>23</v>
      </c>
      <c r="B90" t="s">
        <v>194</v>
      </c>
    </row>
    <row r="91" spans="1:2" x14ac:dyDescent="0.35">
      <c r="A91" t="s">
        <v>20</v>
      </c>
      <c r="B91" t="s">
        <v>194</v>
      </c>
    </row>
    <row r="92" spans="1:2" x14ac:dyDescent="0.35">
      <c r="A92" t="s">
        <v>178</v>
      </c>
      <c r="B92" t="s">
        <v>194</v>
      </c>
    </row>
    <row r="93" spans="1:2" x14ac:dyDescent="0.35">
      <c r="A93" t="s">
        <v>176</v>
      </c>
      <c r="B93" t="s">
        <v>194</v>
      </c>
    </row>
    <row r="94" spans="1:2" x14ac:dyDescent="0.35">
      <c r="A94" t="s">
        <v>177</v>
      </c>
      <c r="B94" t="s">
        <v>194</v>
      </c>
    </row>
    <row r="95" spans="1:2" x14ac:dyDescent="0.35">
      <c r="A95" t="s">
        <v>174</v>
      </c>
      <c r="B95" t="s">
        <v>194</v>
      </c>
    </row>
    <row r="96" spans="1:2" x14ac:dyDescent="0.35">
      <c r="A96" t="s">
        <v>180</v>
      </c>
      <c r="B96" t="s">
        <v>194</v>
      </c>
    </row>
    <row r="97" spans="1:2" x14ac:dyDescent="0.35">
      <c r="A97" t="s">
        <v>182</v>
      </c>
      <c r="B97" t="s">
        <v>194</v>
      </c>
    </row>
    <row r="98" spans="1:2" x14ac:dyDescent="0.35">
      <c r="A98" t="s">
        <v>183</v>
      </c>
      <c r="B98" t="s">
        <v>194</v>
      </c>
    </row>
    <row r="99" spans="1:2" x14ac:dyDescent="0.35">
      <c r="A99" t="s">
        <v>285</v>
      </c>
      <c r="B99" t="s">
        <v>194</v>
      </c>
    </row>
    <row r="100" spans="1:2" x14ac:dyDescent="0.35">
      <c r="A100" t="s">
        <v>18</v>
      </c>
      <c r="B100" t="s">
        <v>199</v>
      </c>
    </row>
    <row r="101" spans="1:2" x14ac:dyDescent="0.35">
      <c r="A101" t="s">
        <v>175</v>
      </c>
      <c r="B101" t="s">
        <v>199</v>
      </c>
    </row>
    <row r="102" spans="1:2" x14ac:dyDescent="0.35">
      <c r="A102" t="s">
        <v>170</v>
      </c>
      <c r="B102" t="s">
        <v>199</v>
      </c>
    </row>
    <row r="103" spans="1:2" x14ac:dyDescent="0.35">
      <c r="A103" t="s">
        <v>19</v>
      </c>
      <c r="B103" t="s">
        <v>199</v>
      </c>
    </row>
    <row r="104" spans="1:2" x14ac:dyDescent="0.35">
      <c r="A104" t="s">
        <v>23</v>
      </c>
      <c r="B104" t="s">
        <v>199</v>
      </c>
    </row>
    <row r="105" spans="1:2" x14ac:dyDescent="0.35">
      <c r="A105" t="s">
        <v>20</v>
      </c>
      <c r="B105" t="s">
        <v>199</v>
      </c>
    </row>
    <row r="106" spans="1:2" x14ac:dyDescent="0.35">
      <c r="A106" t="s">
        <v>178</v>
      </c>
      <c r="B106" t="s">
        <v>199</v>
      </c>
    </row>
    <row r="107" spans="1:2" x14ac:dyDescent="0.35">
      <c r="A107" t="s">
        <v>176</v>
      </c>
      <c r="B107" t="s">
        <v>199</v>
      </c>
    </row>
    <row r="108" spans="1:2" x14ac:dyDescent="0.35">
      <c r="A108" t="s">
        <v>177</v>
      </c>
      <c r="B108" t="s">
        <v>199</v>
      </c>
    </row>
    <row r="109" spans="1:2" x14ac:dyDescent="0.35">
      <c r="A109" t="s">
        <v>174</v>
      </c>
      <c r="B109" t="s">
        <v>199</v>
      </c>
    </row>
    <row r="110" spans="1:2" x14ac:dyDescent="0.35">
      <c r="A110" t="s">
        <v>180</v>
      </c>
      <c r="B110" t="s">
        <v>199</v>
      </c>
    </row>
    <row r="111" spans="1:2" x14ac:dyDescent="0.35">
      <c r="A111" t="s">
        <v>182</v>
      </c>
      <c r="B111" t="s">
        <v>199</v>
      </c>
    </row>
    <row r="112" spans="1:2" x14ac:dyDescent="0.35">
      <c r="A112" t="s">
        <v>183</v>
      </c>
      <c r="B112" t="s">
        <v>199</v>
      </c>
    </row>
    <row r="113" spans="1:2" x14ac:dyDescent="0.35">
      <c r="A113" t="s">
        <v>285</v>
      </c>
      <c r="B113" t="s">
        <v>199</v>
      </c>
    </row>
    <row r="114" spans="1:2" x14ac:dyDescent="0.35">
      <c r="A114" t="s">
        <v>18</v>
      </c>
      <c r="B114" t="s">
        <v>195</v>
      </c>
    </row>
    <row r="115" spans="1:2" x14ac:dyDescent="0.35">
      <c r="A115" t="s">
        <v>175</v>
      </c>
      <c r="B115" t="s">
        <v>195</v>
      </c>
    </row>
    <row r="116" spans="1:2" x14ac:dyDescent="0.35">
      <c r="A116" t="s">
        <v>170</v>
      </c>
      <c r="B116" t="s">
        <v>195</v>
      </c>
    </row>
    <row r="117" spans="1:2" x14ac:dyDescent="0.35">
      <c r="A117" t="s">
        <v>19</v>
      </c>
      <c r="B117" t="s">
        <v>195</v>
      </c>
    </row>
    <row r="118" spans="1:2" x14ac:dyDescent="0.35">
      <c r="A118" t="s">
        <v>23</v>
      </c>
      <c r="B118" t="s">
        <v>195</v>
      </c>
    </row>
    <row r="119" spans="1:2" x14ac:dyDescent="0.35">
      <c r="A119" t="s">
        <v>20</v>
      </c>
      <c r="B119" t="s">
        <v>195</v>
      </c>
    </row>
    <row r="120" spans="1:2" x14ac:dyDescent="0.35">
      <c r="A120" t="s">
        <v>178</v>
      </c>
      <c r="B120" t="s">
        <v>195</v>
      </c>
    </row>
    <row r="121" spans="1:2" x14ac:dyDescent="0.35">
      <c r="A121" t="s">
        <v>176</v>
      </c>
      <c r="B121" t="s">
        <v>195</v>
      </c>
    </row>
    <row r="122" spans="1:2" x14ac:dyDescent="0.35">
      <c r="A122" t="s">
        <v>177</v>
      </c>
      <c r="B122" t="s">
        <v>195</v>
      </c>
    </row>
    <row r="123" spans="1:2" x14ac:dyDescent="0.35">
      <c r="A123" t="s">
        <v>174</v>
      </c>
      <c r="B123" t="s">
        <v>195</v>
      </c>
    </row>
    <row r="124" spans="1:2" x14ac:dyDescent="0.35">
      <c r="A124" t="s">
        <v>180</v>
      </c>
      <c r="B124" t="s">
        <v>195</v>
      </c>
    </row>
    <row r="125" spans="1:2" x14ac:dyDescent="0.35">
      <c r="A125" t="s">
        <v>182</v>
      </c>
      <c r="B125" t="s">
        <v>195</v>
      </c>
    </row>
    <row r="126" spans="1:2" x14ac:dyDescent="0.35">
      <c r="A126" t="s">
        <v>183</v>
      </c>
      <c r="B126" t="s">
        <v>195</v>
      </c>
    </row>
    <row r="127" spans="1:2" x14ac:dyDescent="0.35">
      <c r="A127" t="s">
        <v>285</v>
      </c>
      <c r="B127" t="s">
        <v>195</v>
      </c>
    </row>
    <row r="128" spans="1:2" x14ac:dyDescent="0.35">
      <c r="A128" t="s">
        <v>18</v>
      </c>
      <c r="B128" t="s">
        <v>207</v>
      </c>
    </row>
    <row r="129" spans="1:2" x14ac:dyDescent="0.35">
      <c r="A129" t="s">
        <v>175</v>
      </c>
      <c r="B129" t="s">
        <v>207</v>
      </c>
    </row>
    <row r="130" spans="1:2" x14ac:dyDescent="0.35">
      <c r="A130" t="s">
        <v>170</v>
      </c>
      <c r="B130" t="s">
        <v>207</v>
      </c>
    </row>
    <row r="131" spans="1:2" x14ac:dyDescent="0.35">
      <c r="A131" t="s">
        <v>19</v>
      </c>
      <c r="B131" t="s">
        <v>207</v>
      </c>
    </row>
    <row r="132" spans="1:2" x14ac:dyDescent="0.35">
      <c r="A132" t="s">
        <v>23</v>
      </c>
      <c r="B132" t="s">
        <v>207</v>
      </c>
    </row>
    <row r="133" spans="1:2" x14ac:dyDescent="0.35">
      <c r="A133" t="s">
        <v>20</v>
      </c>
      <c r="B133" t="s">
        <v>207</v>
      </c>
    </row>
    <row r="134" spans="1:2" x14ac:dyDescent="0.35">
      <c r="A134" t="s">
        <v>178</v>
      </c>
      <c r="B134" t="s">
        <v>207</v>
      </c>
    </row>
    <row r="135" spans="1:2" x14ac:dyDescent="0.35">
      <c r="A135" t="s">
        <v>176</v>
      </c>
      <c r="B135" t="s">
        <v>207</v>
      </c>
    </row>
    <row r="136" spans="1:2" x14ac:dyDescent="0.35">
      <c r="A136" t="s">
        <v>177</v>
      </c>
      <c r="B136" t="s">
        <v>207</v>
      </c>
    </row>
    <row r="137" spans="1:2" x14ac:dyDescent="0.35">
      <c r="A137" t="s">
        <v>174</v>
      </c>
      <c r="B137" t="s">
        <v>207</v>
      </c>
    </row>
    <row r="138" spans="1:2" x14ac:dyDescent="0.35">
      <c r="A138" t="s">
        <v>180</v>
      </c>
      <c r="B138" t="s">
        <v>207</v>
      </c>
    </row>
    <row r="139" spans="1:2" x14ac:dyDescent="0.35">
      <c r="A139" t="s">
        <v>182</v>
      </c>
      <c r="B139" t="s">
        <v>207</v>
      </c>
    </row>
    <row r="140" spans="1:2" x14ac:dyDescent="0.35">
      <c r="A140" t="s">
        <v>183</v>
      </c>
      <c r="B140" t="s">
        <v>207</v>
      </c>
    </row>
    <row r="141" spans="1:2" x14ac:dyDescent="0.35">
      <c r="A141" t="s">
        <v>285</v>
      </c>
      <c r="B141" t="s">
        <v>207</v>
      </c>
    </row>
    <row r="142" spans="1:2" x14ac:dyDescent="0.35">
      <c r="A142" t="s">
        <v>18</v>
      </c>
      <c r="B142" t="s">
        <v>191</v>
      </c>
    </row>
    <row r="143" spans="1:2" x14ac:dyDescent="0.35">
      <c r="A143" t="s">
        <v>175</v>
      </c>
      <c r="B143" t="s">
        <v>191</v>
      </c>
    </row>
    <row r="144" spans="1:2" x14ac:dyDescent="0.35">
      <c r="A144" t="s">
        <v>170</v>
      </c>
      <c r="B144" t="s">
        <v>191</v>
      </c>
    </row>
    <row r="145" spans="1:2" x14ac:dyDescent="0.35">
      <c r="A145" t="s">
        <v>19</v>
      </c>
      <c r="B145" t="s">
        <v>191</v>
      </c>
    </row>
    <row r="146" spans="1:2" x14ac:dyDescent="0.35">
      <c r="A146" t="s">
        <v>23</v>
      </c>
      <c r="B146" t="s">
        <v>191</v>
      </c>
    </row>
    <row r="147" spans="1:2" x14ac:dyDescent="0.35">
      <c r="A147" t="s">
        <v>20</v>
      </c>
      <c r="B147" t="s">
        <v>191</v>
      </c>
    </row>
    <row r="148" spans="1:2" x14ac:dyDescent="0.35">
      <c r="A148" t="s">
        <v>178</v>
      </c>
      <c r="B148" t="s">
        <v>191</v>
      </c>
    </row>
    <row r="149" spans="1:2" x14ac:dyDescent="0.35">
      <c r="A149" t="s">
        <v>176</v>
      </c>
      <c r="B149" t="s">
        <v>191</v>
      </c>
    </row>
    <row r="150" spans="1:2" x14ac:dyDescent="0.35">
      <c r="A150" t="s">
        <v>177</v>
      </c>
      <c r="B150" t="s">
        <v>191</v>
      </c>
    </row>
    <row r="151" spans="1:2" x14ac:dyDescent="0.35">
      <c r="A151" t="s">
        <v>174</v>
      </c>
      <c r="B151" t="s">
        <v>191</v>
      </c>
    </row>
    <row r="152" spans="1:2" x14ac:dyDescent="0.35">
      <c r="A152" t="s">
        <v>180</v>
      </c>
      <c r="B152" t="s">
        <v>191</v>
      </c>
    </row>
    <row r="153" spans="1:2" x14ac:dyDescent="0.35">
      <c r="A153" t="s">
        <v>182</v>
      </c>
      <c r="B153" t="s">
        <v>191</v>
      </c>
    </row>
    <row r="154" spans="1:2" x14ac:dyDescent="0.35">
      <c r="A154" t="s">
        <v>183</v>
      </c>
      <c r="B154" t="s">
        <v>191</v>
      </c>
    </row>
    <row r="155" spans="1:2" x14ac:dyDescent="0.35">
      <c r="A155" t="s">
        <v>285</v>
      </c>
      <c r="B155" t="s">
        <v>191</v>
      </c>
    </row>
    <row r="156" spans="1:2" x14ac:dyDescent="0.35">
      <c r="A156" t="s">
        <v>18</v>
      </c>
      <c r="B156" t="s">
        <v>187</v>
      </c>
    </row>
    <row r="157" spans="1:2" x14ac:dyDescent="0.35">
      <c r="A157" t="s">
        <v>175</v>
      </c>
      <c r="B157" t="s">
        <v>187</v>
      </c>
    </row>
    <row r="158" spans="1:2" x14ac:dyDescent="0.35">
      <c r="A158" t="s">
        <v>170</v>
      </c>
      <c r="B158" t="s">
        <v>187</v>
      </c>
    </row>
    <row r="159" spans="1:2" x14ac:dyDescent="0.35">
      <c r="A159" t="s">
        <v>19</v>
      </c>
      <c r="B159" t="s">
        <v>187</v>
      </c>
    </row>
    <row r="160" spans="1:2" x14ac:dyDescent="0.35">
      <c r="A160" t="s">
        <v>23</v>
      </c>
      <c r="B160" t="s">
        <v>187</v>
      </c>
    </row>
    <row r="161" spans="1:2" x14ac:dyDescent="0.35">
      <c r="A161" t="s">
        <v>20</v>
      </c>
      <c r="B161" t="s">
        <v>187</v>
      </c>
    </row>
    <row r="162" spans="1:2" x14ac:dyDescent="0.35">
      <c r="A162" t="s">
        <v>178</v>
      </c>
      <c r="B162" t="s">
        <v>187</v>
      </c>
    </row>
    <row r="163" spans="1:2" x14ac:dyDescent="0.35">
      <c r="A163" t="s">
        <v>176</v>
      </c>
      <c r="B163" t="s">
        <v>187</v>
      </c>
    </row>
    <row r="164" spans="1:2" x14ac:dyDescent="0.35">
      <c r="A164" t="s">
        <v>177</v>
      </c>
      <c r="B164" t="s">
        <v>187</v>
      </c>
    </row>
    <row r="165" spans="1:2" x14ac:dyDescent="0.35">
      <c r="A165" t="s">
        <v>174</v>
      </c>
      <c r="B165" t="s">
        <v>187</v>
      </c>
    </row>
    <row r="166" spans="1:2" x14ac:dyDescent="0.35">
      <c r="A166" t="s">
        <v>180</v>
      </c>
      <c r="B166" t="s">
        <v>187</v>
      </c>
    </row>
    <row r="167" spans="1:2" x14ac:dyDescent="0.35">
      <c r="A167" t="s">
        <v>182</v>
      </c>
      <c r="B167" t="s">
        <v>187</v>
      </c>
    </row>
    <row r="168" spans="1:2" x14ac:dyDescent="0.35">
      <c r="A168" t="s">
        <v>183</v>
      </c>
      <c r="B168" t="s">
        <v>187</v>
      </c>
    </row>
    <row r="169" spans="1:2" x14ac:dyDescent="0.35">
      <c r="A169" t="s">
        <v>285</v>
      </c>
      <c r="B169" t="s">
        <v>187</v>
      </c>
    </row>
    <row r="170" spans="1:2" x14ac:dyDescent="0.35">
      <c r="A170" t="s">
        <v>18</v>
      </c>
      <c r="B170" t="s">
        <v>185</v>
      </c>
    </row>
    <row r="171" spans="1:2" x14ac:dyDescent="0.35">
      <c r="A171" t="s">
        <v>175</v>
      </c>
      <c r="B171" t="s">
        <v>185</v>
      </c>
    </row>
    <row r="172" spans="1:2" x14ac:dyDescent="0.35">
      <c r="A172" t="s">
        <v>170</v>
      </c>
      <c r="B172" t="s">
        <v>185</v>
      </c>
    </row>
    <row r="173" spans="1:2" x14ac:dyDescent="0.35">
      <c r="A173" t="s">
        <v>19</v>
      </c>
      <c r="B173" t="s">
        <v>185</v>
      </c>
    </row>
    <row r="174" spans="1:2" x14ac:dyDescent="0.35">
      <c r="A174" t="s">
        <v>23</v>
      </c>
      <c r="B174" t="s">
        <v>185</v>
      </c>
    </row>
    <row r="175" spans="1:2" x14ac:dyDescent="0.35">
      <c r="A175" t="s">
        <v>20</v>
      </c>
      <c r="B175" t="s">
        <v>185</v>
      </c>
    </row>
    <row r="176" spans="1:2" x14ac:dyDescent="0.35">
      <c r="A176" t="s">
        <v>178</v>
      </c>
      <c r="B176" t="s">
        <v>185</v>
      </c>
    </row>
    <row r="177" spans="1:2" x14ac:dyDescent="0.35">
      <c r="A177" t="s">
        <v>176</v>
      </c>
      <c r="B177" t="s">
        <v>185</v>
      </c>
    </row>
    <row r="178" spans="1:2" x14ac:dyDescent="0.35">
      <c r="A178" t="s">
        <v>177</v>
      </c>
      <c r="B178" t="s">
        <v>185</v>
      </c>
    </row>
    <row r="179" spans="1:2" x14ac:dyDescent="0.35">
      <c r="A179" t="s">
        <v>174</v>
      </c>
      <c r="B179" t="s">
        <v>185</v>
      </c>
    </row>
    <row r="180" spans="1:2" x14ac:dyDescent="0.35">
      <c r="A180" t="s">
        <v>180</v>
      </c>
      <c r="B180" t="s">
        <v>185</v>
      </c>
    </row>
    <row r="181" spans="1:2" x14ac:dyDescent="0.35">
      <c r="A181" t="s">
        <v>182</v>
      </c>
      <c r="B181" t="s">
        <v>185</v>
      </c>
    </row>
    <row r="182" spans="1:2" x14ac:dyDescent="0.35">
      <c r="A182" t="s">
        <v>183</v>
      </c>
      <c r="B182" t="s">
        <v>185</v>
      </c>
    </row>
    <row r="183" spans="1:2" x14ac:dyDescent="0.35">
      <c r="A183" t="s">
        <v>285</v>
      </c>
      <c r="B183" t="s">
        <v>185</v>
      </c>
    </row>
    <row r="184" spans="1:2" x14ac:dyDescent="0.35">
      <c r="A184" t="s">
        <v>18</v>
      </c>
      <c r="B184" t="s">
        <v>192</v>
      </c>
    </row>
    <row r="185" spans="1:2" x14ac:dyDescent="0.35">
      <c r="A185" t="s">
        <v>175</v>
      </c>
      <c r="B185" t="s">
        <v>192</v>
      </c>
    </row>
    <row r="186" spans="1:2" x14ac:dyDescent="0.35">
      <c r="A186" t="s">
        <v>170</v>
      </c>
      <c r="B186" t="s">
        <v>192</v>
      </c>
    </row>
    <row r="187" spans="1:2" x14ac:dyDescent="0.35">
      <c r="A187" t="s">
        <v>19</v>
      </c>
      <c r="B187" t="s">
        <v>192</v>
      </c>
    </row>
    <row r="188" spans="1:2" x14ac:dyDescent="0.35">
      <c r="A188" t="s">
        <v>23</v>
      </c>
      <c r="B188" t="s">
        <v>192</v>
      </c>
    </row>
    <row r="189" spans="1:2" x14ac:dyDescent="0.35">
      <c r="A189" t="s">
        <v>20</v>
      </c>
      <c r="B189" t="s">
        <v>192</v>
      </c>
    </row>
    <row r="190" spans="1:2" x14ac:dyDescent="0.35">
      <c r="A190" t="s">
        <v>178</v>
      </c>
      <c r="B190" t="s">
        <v>192</v>
      </c>
    </row>
    <row r="191" spans="1:2" x14ac:dyDescent="0.35">
      <c r="A191" t="s">
        <v>176</v>
      </c>
      <c r="B191" t="s">
        <v>192</v>
      </c>
    </row>
    <row r="192" spans="1:2" x14ac:dyDescent="0.35">
      <c r="A192" t="s">
        <v>177</v>
      </c>
      <c r="B192" t="s">
        <v>192</v>
      </c>
    </row>
    <row r="193" spans="1:2" x14ac:dyDescent="0.35">
      <c r="A193" t="s">
        <v>174</v>
      </c>
      <c r="B193" t="s">
        <v>192</v>
      </c>
    </row>
    <row r="194" spans="1:2" x14ac:dyDescent="0.35">
      <c r="A194" t="s">
        <v>180</v>
      </c>
      <c r="B194" t="s">
        <v>192</v>
      </c>
    </row>
    <row r="195" spans="1:2" x14ac:dyDescent="0.35">
      <c r="A195" t="s">
        <v>182</v>
      </c>
      <c r="B195" t="s">
        <v>192</v>
      </c>
    </row>
    <row r="196" spans="1:2" x14ac:dyDescent="0.35">
      <c r="A196" t="s">
        <v>183</v>
      </c>
      <c r="B196" t="s">
        <v>192</v>
      </c>
    </row>
    <row r="197" spans="1:2" x14ac:dyDescent="0.35">
      <c r="A197" t="s">
        <v>285</v>
      </c>
      <c r="B197" t="s">
        <v>192</v>
      </c>
    </row>
    <row r="198" spans="1:2" x14ac:dyDescent="0.35">
      <c r="A198" t="s">
        <v>18</v>
      </c>
      <c r="B198" t="s">
        <v>188</v>
      </c>
    </row>
    <row r="199" spans="1:2" x14ac:dyDescent="0.35">
      <c r="A199" t="s">
        <v>175</v>
      </c>
      <c r="B199" t="s">
        <v>188</v>
      </c>
    </row>
    <row r="200" spans="1:2" x14ac:dyDescent="0.35">
      <c r="A200" t="s">
        <v>170</v>
      </c>
      <c r="B200" t="s">
        <v>188</v>
      </c>
    </row>
    <row r="201" spans="1:2" x14ac:dyDescent="0.35">
      <c r="A201" t="s">
        <v>19</v>
      </c>
      <c r="B201" t="s">
        <v>188</v>
      </c>
    </row>
    <row r="202" spans="1:2" x14ac:dyDescent="0.35">
      <c r="A202" t="s">
        <v>23</v>
      </c>
      <c r="B202" t="s">
        <v>188</v>
      </c>
    </row>
    <row r="203" spans="1:2" x14ac:dyDescent="0.35">
      <c r="A203" t="s">
        <v>20</v>
      </c>
      <c r="B203" t="s">
        <v>188</v>
      </c>
    </row>
    <row r="204" spans="1:2" x14ac:dyDescent="0.35">
      <c r="A204" t="s">
        <v>178</v>
      </c>
      <c r="B204" t="s">
        <v>188</v>
      </c>
    </row>
    <row r="205" spans="1:2" x14ac:dyDescent="0.35">
      <c r="A205" t="s">
        <v>176</v>
      </c>
      <c r="B205" t="s">
        <v>188</v>
      </c>
    </row>
    <row r="206" spans="1:2" x14ac:dyDescent="0.35">
      <c r="A206" t="s">
        <v>177</v>
      </c>
      <c r="B206" t="s">
        <v>188</v>
      </c>
    </row>
    <row r="207" spans="1:2" x14ac:dyDescent="0.35">
      <c r="A207" t="s">
        <v>174</v>
      </c>
      <c r="B207" t="s">
        <v>188</v>
      </c>
    </row>
    <row r="208" spans="1:2" x14ac:dyDescent="0.35">
      <c r="A208" t="s">
        <v>180</v>
      </c>
      <c r="B208" t="s">
        <v>188</v>
      </c>
    </row>
    <row r="209" spans="1:2" x14ac:dyDescent="0.35">
      <c r="A209" t="s">
        <v>182</v>
      </c>
      <c r="B209" t="s">
        <v>188</v>
      </c>
    </row>
    <row r="210" spans="1:2" x14ac:dyDescent="0.35">
      <c r="A210" t="s">
        <v>183</v>
      </c>
      <c r="B210" t="s">
        <v>188</v>
      </c>
    </row>
    <row r="211" spans="1:2" x14ac:dyDescent="0.35">
      <c r="A211" t="s">
        <v>285</v>
      </c>
      <c r="B211" t="s">
        <v>188</v>
      </c>
    </row>
    <row r="212" spans="1:2" x14ac:dyDescent="0.35">
      <c r="A212" t="s">
        <v>18</v>
      </c>
      <c r="B212" t="s">
        <v>193</v>
      </c>
    </row>
    <row r="213" spans="1:2" x14ac:dyDescent="0.35">
      <c r="A213" t="s">
        <v>175</v>
      </c>
      <c r="B213" t="s">
        <v>193</v>
      </c>
    </row>
    <row r="214" spans="1:2" x14ac:dyDescent="0.35">
      <c r="A214" t="s">
        <v>170</v>
      </c>
      <c r="B214" t="s">
        <v>193</v>
      </c>
    </row>
    <row r="215" spans="1:2" x14ac:dyDescent="0.35">
      <c r="A215" t="s">
        <v>19</v>
      </c>
      <c r="B215" t="s">
        <v>193</v>
      </c>
    </row>
    <row r="216" spans="1:2" x14ac:dyDescent="0.35">
      <c r="A216" t="s">
        <v>23</v>
      </c>
      <c r="B216" t="s">
        <v>193</v>
      </c>
    </row>
    <row r="217" spans="1:2" x14ac:dyDescent="0.35">
      <c r="A217" t="s">
        <v>20</v>
      </c>
      <c r="B217" t="s">
        <v>193</v>
      </c>
    </row>
    <row r="218" spans="1:2" x14ac:dyDescent="0.35">
      <c r="A218" t="s">
        <v>178</v>
      </c>
      <c r="B218" t="s">
        <v>193</v>
      </c>
    </row>
    <row r="219" spans="1:2" x14ac:dyDescent="0.35">
      <c r="A219" t="s">
        <v>176</v>
      </c>
      <c r="B219" t="s">
        <v>193</v>
      </c>
    </row>
    <row r="220" spans="1:2" x14ac:dyDescent="0.35">
      <c r="A220" t="s">
        <v>177</v>
      </c>
      <c r="B220" t="s">
        <v>193</v>
      </c>
    </row>
    <row r="221" spans="1:2" x14ac:dyDescent="0.35">
      <c r="A221" t="s">
        <v>174</v>
      </c>
      <c r="B221" t="s">
        <v>193</v>
      </c>
    </row>
    <row r="222" spans="1:2" x14ac:dyDescent="0.35">
      <c r="A222" t="s">
        <v>180</v>
      </c>
      <c r="B222" t="s">
        <v>193</v>
      </c>
    </row>
    <row r="223" spans="1:2" x14ac:dyDescent="0.35">
      <c r="A223" t="s">
        <v>182</v>
      </c>
      <c r="B223" t="s">
        <v>193</v>
      </c>
    </row>
    <row r="224" spans="1:2" x14ac:dyDescent="0.35">
      <c r="A224" t="s">
        <v>183</v>
      </c>
      <c r="B224" t="s">
        <v>193</v>
      </c>
    </row>
    <row r="225" spans="1:2" x14ac:dyDescent="0.35">
      <c r="A225" t="s">
        <v>285</v>
      </c>
      <c r="B225" t="s">
        <v>193</v>
      </c>
    </row>
    <row r="226" spans="1:2" x14ac:dyDescent="0.35">
      <c r="A226" t="s">
        <v>18</v>
      </c>
      <c r="B226" t="s">
        <v>189</v>
      </c>
    </row>
    <row r="227" spans="1:2" x14ac:dyDescent="0.35">
      <c r="A227" t="s">
        <v>175</v>
      </c>
      <c r="B227" t="s">
        <v>189</v>
      </c>
    </row>
    <row r="228" spans="1:2" x14ac:dyDescent="0.35">
      <c r="A228" t="s">
        <v>170</v>
      </c>
      <c r="B228" t="s">
        <v>189</v>
      </c>
    </row>
    <row r="229" spans="1:2" x14ac:dyDescent="0.35">
      <c r="A229" t="s">
        <v>19</v>
      </c>
      <c r="B229" t="s">
        <v>189</v>
      </c>
    </row>
    <row r="230" spans="1:2" x14ac:dyDescent="0.35">
      <c r="A230" t="s">
        <v>23</v>
      </c>
      <c r="B230" t="s">
        <v>189</v>
      </c>
    </row>
    <row r="231" spans="1:2" x14ac:dyDescent="0.35">
      <c r="A231" t="s">
        <v>20</v>
      </c>
      <c r="B231" t="s">
        <v>189</v>
      </c>
    </row>
    <row r="232" spans="1:2" x14ac:dyDescent="0.35">
      <c r="A232" t="s">
        <v>178</v>
      </c>
      <c r="B232" t="s">
        <v>189</v>
      </c>
    </row>
    <row r="233" spans="1:2" x14ac:dyDescent="0.35">
      <c r="A233" t="s">
        <v>176</v>
      </c>
      <c r="B233" t="s">
        <v>189</v>
      </c>
    </row>
    <row r="234" spans="1:2" x14ac:dyDescent="0.35">
      <c r="A234" t="s">
        <v>177</v>
      </c>
      <c r="B234" t="s">
        <v>189</v>
      </c>
    </row>
    <row r="235" spans="1:2" x14ac:dyDescent="0.35">
      <c r="A235" t="s">
        <v>174</v>
      </c>
      <c r="B235" t="s">
        <v>189</v>
      </c>
    </row>
    <row r="236" spans="1:2" x14ac:dyDescent="0.35">
      <c r="A236" t="s">
        <v>180</v>
      </c>
      <c r="B236" t="s">
        <v>189</v>
      </c>
    </row>
    <row r="237" spans="1:2" x14ac:dyDescent="0.35">
      <c r="A237" t="s">
        <v>182</v>
      </c>
      <c r="B237" t="s">
        <v>189</v>
      </c>
    </row>
    <row r="238" spans="1:2" x14ac:dyDescent="0.35">
      <c r="A238" t="s">
        <v>183</v>
      </c>
      <c r="B238" t="s">
        <v>189</v>
      </c>
    </row>
    <row r="239" spans="1:2" x14ac:dyDescent="0.35">
      <c r="A239" t="s">
        <v>285</v>
      </c>
      <c r="B239" t="s">
        <v>189</v>
      </c>
    </row>
    <row r="240" spans="1:2" x14ac:dyDescent="0.35">
      <c r="A240" t="s">
        <v>18</v>
      </c>
      <c r="B240" t="s">
        <v>190</v>
      </c>
    </row>
    <row r="241" spans="1:2" x14ac:dyDescent="0.35">
      <c r="A241" t="s">
        <v>175</v>
      </c>
      <c r="B241" t="s">
        <v>190</v>
      </c>
    </row>
    <row r="242" spans="1:2" x14ac:dyDescent="0.35">
      <c r="A242" t="s">
        <v>170</v>
      </c>
      <c r="B242" t="s">
        <v>190</v>
      </c>
    </row>
    <row r="243" spans="1:2" x14ac:dyDescent="0.35">
      <c r="A243" t="s">
        <v>19</v>
      </c>
      <c r="B243" t="s">
        <v>190</v>
      </c>
    </row>
    <row r="244" spans="1:2" x14ac:dyDescent="0.35">
      <c r="A244" t="s">
        <v>23</v>
      </c>
      <c r="B244" t="s">
        <v>190</v>
      </c>
    </row>
    <row r="245" spans="1:2" x14ac:dyDescent="0.35">
      <c r="A245" t="s">
        <v>20</v>
      </c>
      <c r="B245" t="s">
        <v>190</v>
      </c>
    </row>
    <row r="246" spans="1:2" x14ac:dyDescent="0.35">
      <c r="A246" t="s">
        <v>178</v>
      </c>
      <c r="B246" t="s">
        <v>190</v>
      </c>
    </row>
    <row r="247" spans="1:2" x14ac:dyDescent="0.35">
      <c r="A247" t="s">
        <v>176</v>
      </c>
      <c r="B247" t="s">
        <v>190</v>
      </c>
    </row>
    <row r="248" spans="1:2" x14ac:dyDescent="0.35">
      <c r="A248" t="s">
        <v>177</v>
      </c>
      <c r="B248" t="s">
        <v>190</v>
      </c>
    </row>
    <row r="249" spans="1:2" x14ac:dyDescent="0.35">
      <c r="A249" t="s">
        <v>174</v>
      </c>
      <c r="B249" t="s">
        <v>190</v>
      </c>
    </row>
    <row r="250" spans="1:2" x14ac:dyDescent="0.35">
      <c r="A250" t="s">
        <v>180</v>
      </c>
      <c r="B250" t="s">
        <v>190</v>
      </c>
    </row>
    <row r="251" spans="1:2" x14ac:dyDescent="0.35">
      <c r="A251" t="s">
        <v>182</v>
      </c>
      <c r="B251" t="s">
        <v>190</v>
      </c>
    </row>
    <row r="252" spans="1:2" x14ac:dyDescent="0.35">
      <c r="A252" t="s">
        <v>183</v>
      </c>
      <c r="B252" t="s">
        <v>190</v>
      </c>
    </row>
    <row r="253" spans="1:2" x14ac:dyDescent="0.35">
      <c r="A253" t="s">
        <v>285</v>
      </c>
      <c r="B253" t="s">
        <v>190</v>
      </c>
    </row>
    <row r="254" spans="1:2" x14ac:dyDescent="0.35">
      <c r="A254" t="s">
        <v>18</v>
      </c>
      <c r="B254" t="s">
        <v>163</v>
      </c>
    </row>
    <row r="255" spans="1:2" x14ac:dyDescent="0.35">
      <c r="A255" t="s">
        <v>175</v>
      </c>
      <c r="B255" t="s">
        <v>163</v>
      </c>
    </row>
    <row r="256" spans="1:2" x14ac:dyDescent="0.35">
      <c r="A256" t="s">
        <v>170</v>
      </c>
      <c r="B256" t="s">
        <v>163</v>
      </c>
    </row>
    <row r="257" spans="1:2" x14ac:dyDescent="0.35">
      <c r="A257" t="s">
        <v>19</v>
      </c>
      <c r="B257" t="s">
        <v>163</v>
      </c>
    </row>
    <row r="258" spans="1:2" x14ac:dyDescent="0.35">
      <c r="A258" t="s">
        <v>23</v>
      </c>
      <c r="B258" t="s">
        <v>163</v>
      </c>
    </row>
    <row r="259" spans="1:2" x14ac:dyDescent="0.35">
      <c r="A259" t="s">
        <v>20</v>
      </c>
      <c r="B259" t="s">
        <v>163</v>
      </c>
    </row>
    <row r="260" spans="1:2" x14ac:dyDescent="0.35">
      <c r="A260" t="s">
        <v>178</v>
      </c>
      <c r="B260" t="s">
        <v>163</v>
      </c>
    </row>
    <row r="261" spans="1:2" x14ac:dyDescent="0.35">
      <c r="A261" t="s">
        <v>176</v>
      </c>
      <c r="B261" t="s">
        <v>163</v>
      </c>
    </row>
    <row r="262" spans="1:2" x14ac:dyDescent="0.35">
      <c r="A262" t="s">
        <v>177</v>
      </c>
      <c r="B262" t="s">
        <v>163</v>
      </c>
    </row>
    <row r="263" spans="1:2" x14ac:dyDescent="0.35">
      <c r="A263" t="s">
        <v>174</v>
      </c>
      <c r="B263" t="s">
        <v>163</v>
      </c>
    </row>
    <row r="264" spans="1:2" x14ac:dyDescent="0.35">
      <c r="A264" t="s">
        <v>180</v>
      </c>
      <c r="B264" t="s">
        <v>163</v>
      </c>
    </row>
    <row r="265" spans="1:2" x14ac:dyDescent="0.35">
      <c r="A265" t="s">
        <v>182</v>
      </c>
      <c r="B265" t="s">
        <v>163</v>
      </c>
    </row>
    <row r="266" spans="1:2" x14ac:dyDescent="0.35">
      <c r="A266" t="s">
        <v>183</v>
      </c>
      <c r="B266" t="s">
        <v>163</v>
      </c>
    </row>
    <row r="267" spans="1:2" x14ac:dyDescent="0.35">
      <c r="A267" t="s">
        <v>285</v>
      </c>
      <c r="B267" t="s">
        <v>163</v>
      </c>
    </row>
    <row r="268" spans="1:2" x14ac:dyDescent="0.35">
      <c r="A268" t="s">
        <v>18</v>
      </c>
      <c r="B268" t="s">
        <v>196</v>
      </c>
    </row>
    <row r="269" spans="1:2" x14ac:dyDescent="0.35">
      <c r="A269" t="s">
        <v>175</v>
      </c>
      <c r="B269" t="s">
        <v>196</v>
      </c>
    </row>
    <row r="270" spans="1:2" x14ac:dyDescent="0.35">
      <c r="A270" t="s">
        <v>170</v>
      </c>
      <c r="B270" t="s">
        <v>196</v>
      </c>
    </row>
    <row r="271" spans="1:2" x14ac:dyDescent="0.35">
      <c r="A271" t="s">
        <v>19</v>
      </c>
      <c r="B271" t="s">
        <v>196</v>
      </c>
    </row>
    <row r="272" spans="1:2" x14ac:dyDescent="0.35">
      <c r="A272" t="s">
        <v>23</v>
      </c>
      <c r="B272" t="s">
        <v>196</v>
      </c>
    </row>
    <row r="273" spans="1:2" x14ac:dyDescent="0.35">
      <c r="A273" t="s">
        <v>20</v>
      </c>
      <c r="B273" t="s">
        <v>196</v>
      </c>
    </row>
    <row r="274" spans="1:2" x14ac:dyDescent="0.35">
      <c r="A274" t="s">
        <v>178</v>
      </c>
      <c r="B274" t="s">
        <v>196</v>
      </c>
    </row>
    <row r="275" spans="1:2" x14ac:dyDescent="0.35">
      <c r="A275" t="s">
        <v>176</v>
      </c>
      <c r="B275" t="s">
        <v>196</v>
      </c>
    </row>
    <row r="276" spans="1:2" x14ac:dyDescent="0.35">
      <c r="A276" t="s">
        <v>177</v>
      </c>
      <c r="B276" t="s">
        <v>196</v>
      </c>
    </row>
    <row r="277" spans="1:2" x14ac:dyDescent="0.35">
      <c r="A277" t="s">
        <v>174</v>
      </c>
      <c r="B277" t="s">
        <v>196</v>
      </c>
    </row>
    <row r="278" spans="1:2" x14ac:dyDescent="0.35">
      <c r="A278" t="s">
        <v>180</v>
      </c>
      <c r="B278" t="s">
        <v>196</v>
      </c>
    </row>
    <row r="279" spans="1:2" x14ac:dyDescent="0.35">
      <c r="A279" t="s">
        <v>182</v>
      </c>
      <c r="B279" t="s">
        <v>196</v>
      </c>
    </row>
    <row r="280" spans="1:2" x14ac:dyDescent="0.35">
      <c r="A280" t="s">
        <v>183</v>
      </c>
      <c r="B280" t="s">
        <v>196</v>
      </c>
    </row>
    <row r="281" spans="1:2" x14ac:dyDescent="0.35">
      <c r="A281" t="s">
        <v>285</v>
      </c>
      <c r="B281" t="s">
        <v>196</v>
      </c>
    </row>
    <row r="282" spans="1:2" x14ac:dyDescent="0.35">
      <c r="A282" t="s">
        <v>18</v>
      </c>
      <c r="B282" t="s">
        <v>205</v>
      </c>
    </row>
    <row r="283" spans="1:2" x14ac:dyDescent="0.35">
      <c r="A283" t="s">
        <v>175</v>
      </c>
      <c r="B283" t="s">
        <v>205</v>
      </c>
    </row>
    <row r="284" spans="1:2" x14ac:dyDescent="0.35">
      <c r="A284" t="s">
        <v>170</v>
      </c>
      <c r="B284" t="s">
        <v>205</v>
      </c>
    </row>
    <row r="285" spans="1:2" x14ac:dyDescent="0.35">
      <c r="A285" t="s">
        <v>19</v>
      </c>
      <c r="B285" t="s">
        <v>205</v>
      </c>
    </row>
    <row r="286" spans="1:2" x14ac:dyDescent="0.35">
      <c r="A286" t="s">
        <v>23</v>
      </c>
      <c r="B286" t="s">
        <v>205</v>
      </c>
    </row>
    <row r="287" spans="1:2" x14ac:dyDescent="0.35">
      <c r="A287" t="s">
        <v>20</v>
      </c>
      <c r="B287" t="s">
        <v>205</v>
      </c>
    </row>
    <row r="288" spans="1:2" x14ac:dyDescent="0.35">
      <c r="A288" t="s">
        <v>178</v>
      </c>
      <c r="B288" t="s">
        <v>205</v>
      </c>
    </row>
    <row r="289" spans="1:2" x14ac:dyDescent="0.35">
      <c r="A289" t="s">
        <v>176</v>
      </c>
      <c r="B289" t="s">
        <v>205</v>
      </c>
    </row>
    <row r="290" spans="1:2" x14ac:dyDescent="0.35">
      <c r="A290" t="s">
        <v>177</v>
      </c>
      <c r="B290" t="s">
        <v>205</v>
      </c>
    </row>
    <row r="291" spans="1:2" x14ac:dyDescent="0.35">
      <c r="A291" t="s">
        <v>174</v>
      </c>
      <c r="B291" t="s">
        <v>205</v>
      </c>
    </row>
    <row r="292" spans="1:2" x14ac:dyDescent="0.35">
      <c r="A292" t="s">
        <v>180</v>
      </c>
      <c r="B292" t="s">
        <v>205</v>
      </c>
    </row>
    <row r="293" spans="1:2" x14ac:dyDescent="0.35">
      <c r="A293" t="s">
        <v>182</v>
      </c>
      <c r="B293" t="s">
        <v>205</v>
      </c>
    </row>
    <row r="294" spans="1:2" x14ac:dyDescent="0.35">
      <c r="A294" t="s">
        <v>183</v>
      </c>
      <c r="B294" t="s">
        <v>205</v>
      </c>
    </row>
    <row r="295" spans="1:2" x14ac:dyDescent="0.35">
      <c r="A295" t="s">
        <v>285</v>
      </c>
      <c r="B295" t="s">
        <v>205</v>
      </c>
    </row>
    <row r="296" spans="1:2" x14ac:dyDescent="0.35">
      <c r="A296" t="s">
        <v>18</v>
      </c>
      <c r="B296" t="s">
        <v>164</v>
      </c>
    </row>
    <row r="297" spans="1:2" x14ac:dyDescent="0.35">
      <c r="A297" t="s">
        <v>175</v>
      </c>
      <c r="B297" t="s">
        <v>164</v>
      </c>
    </row>
    <row r="298" spans="1:2" x14ac:dyDescent="0.35">
      <c r="A298" t="s">
        <v>170</v>
      </c>
      <c r="B298" t="s">
        <v>164</v>
      </c>
    </row>
    <row r="299" spans="1:2" x14ac:dyDescent="0.35">
      <c r="A299" t="s">
        <v>19</v>
      </c>
      <c r="B299" t="s">
        <v>164</v>
      </c>
    </row>
    <row r="300" spans="1:2" x14ac:dyDescent="0.35">
      <c r="A300" t="s">
        <v>23</v>
      </c>
      <c r="B300" t="s">
        <v>164</v>
      </c>
    </row>
    <row r="301" spans="1:2" x14ac:dyDescent="0.35">
      <c r="A301" t="s">
        <v>20</v>
      </c>
      <c r="B301" t="s">
        <v>164</v>
      </c>
    </row>
    <row r="302" spans="1:2" x14ac:dyDescent="0.35">
      <c r="A302" t="s">
        <v>178</v>
      </c>
      <c r="B302" t="s">
        <v>164</v>
      </c>
    </row>
    <row r="303" spans="1:2" x14ac:dyDescent="0.35">
      <c r="A303" t="s">
        <v>176</v>
      </c>
      <c r="B303" t="s">
        <v>164</v>
      </c>
    </row>
    <row r="304" spans="1:2" x14ac:dyDescent="0.35">
      <c r="A304" t="s">
        <v>177</v>
      </c>
      <c r="B304" t="s">
        <v>164</v>
      </c>
    </row>
    <row r="305" spans="1:2" x14ac:dyDescent="0.35">
      <c r="A305" t="s">
        <v>174</v>
      </c>
      <c r="B305" t="s">
        <v>164</v>
      </c>
    </row>
    <row r="306" spans="1:2" x14ac:dyDescent="0.35">
      <c r="A306" t="s">
        <v>180</v>
      </c>
      <c r="B306" t="s">
        <v>164</v>
      </c>
    </row>
    <row r="307" spans="1:2" x14ac:dyDescent="0.35">
      <c r="A307" t="s">
        <v>182</v>
      </c>
      <c r="B307" t="s">
        <v>164</v>
      </c>
    </row>
    <row r="308" spans="1:2" x14ac:dyDescent="0.35">
      <c r="A308" t="s">
        <v>183</v>
      </c>
      <c r="B308" t="s">
        <v>164</v>
      </c>
    </row>
    <row r="309" spans="1:2" x14ac:dyDescent="0.35">
      <c r="A309" t="s">
        <v>285</v>
      </c>
      <c r="B309" t="s">
        <v>164</v>
      </c>
    </row>
    <row r="310" spans="1:2" x14ac:dyDescent="0.35">
      <c r="A310" t="s">
        <v>18</v>
      </c>
      <c r="B310" t="s">
        <v>197</v>
      </c>
    </row>
    <row r="311" spans="1:2" x14ac:dyDescent="0.35">
      <c r="A311" t="s">
        <v>175</v>
      </c>
      <c r="B311" t="s">
        <v>197</v>
      </c>
    </row>
    <row r="312" spans="1:2" x14ac:dyDescent="0.35">
      <c r="A312" t="s">
        <v>170</v>
      </c>
      <c r="B312" t="s">
        <v>197</v>
      </c>
    </row>
    <row r="313" spans="1:2" x14ac:dyDescent="0.35">
      <c r="A313" t="s">
        <v>19</v>
      </c>
      <c r="B313" t="s">
        <v>197</v>
      </c>
    </row>
    <row r="314" spans="1:2" x14ac:dyDescent="0.35">
      <c r="A314" t="s">
        <v>23</v>
      </c>
      <c r="B314" t="s">
        <v>197</v>
      </c>
    </row>
    <row r="315" spans="1:2" x14ac:dyDescent="0.35">
      <c r="A315" t="s">
        <v>20</v>
      </c>
      <c r="B315" t="s">
        <v>197</v>
      </c>
    </row>
    <row r="316" spans="1:2" x14ac:dyDescent="0.35">
      <c r="A316" t="s">
        <v>178</v>
      </c>
      <c r="B316" t="s">
        <v>197</v>
      </c>
    </row>
    <row r="317" spans="1:2" x14ac:dyDescent="0.35">
      <c r="A317" t="s">
        <v>176</v>
      </c>
      <c r="B317" t="s">
        <v>197</v>
      </c>
    </row>
    <row r="318" spans="1:2" x14ac:dyDescent="0.35">
      <c r="A318" t="s">
        <v>177</v>
      </c>
      <c r="B318" t="s">
        <v>197</v>
      </c>
    </row>
    <row r="319" spans="1:2" x14ac:dyDescent="0.35">
      <c r="A319" t="s">
        <v>174</v>
      </c>
      <c r="B319" t="s">
        <v>197</v>
      </c>
    </row>
    <row r="320" spans="1:2" x14ac:dyDescent="0.35">
      <c r="A320" t="s">
        <v>180</v>
      </c>
      <c r="B320" t="s">
        <v>197</v>
      </c>
    </row>
    <row r="321" spans="1:2" x14ac:dyDescent="0.35">
      <c r="A321" t="s">
        <v>182</v>
      </c>
      <c r="B321" t="s">
        <v>197</v>
      </c>
    </row>
    <row r="322" spans="1:2" x14ac:dyDescent="0.35">
      <c r="A322" t="s">
        <v>183</v>
      </c>
      <c r="B322" t="s">
        <v>197</v>
      </c>
    </row>
    <row r="323" spans="1:2" x14ac:dyDescent="0.35">
      <c r="A323" t="s">
        <v>285</v>
      </c>
      <c r="B323" t="s">
        <v>197</v>
      </c>
    </row>
    <row r="324" spans="1:2" x14ac:dyDescent="0.35">
      <c r="A324" t="s">
        <v>18</v>
      </c>
      <c r="B324" t="s">
        <v>206</v>
      </c>
    </row>
    <row r="325" spans="1:2" x14ac:dyDescent="0.35">
      <c r="A325" t="s">
        <v>175</v>
      </c>
      <c r="B325" t="s">
        <v>206</v>
      </c>
    </row>
    <row r="326" spans="1:2" x14ac:dyDescent="0.35">
      <c r="A326" t="s">
        <v>170</v>
      </c>
      <c r="B326" t="s">
        <v>206</v>
      </c>
    </row>
    <row r="327" spans="1:2" x14ac:dyDescent="0.35">
      <c r="A327" t="s">
        <v>19</v>
      </c>
      <c r="B327" t="s">
        <v>206</v>
      </c>
    </row>
    <row r="328" spans="1:2" x14ac:dyDescent="0.35">
      <c r="A328" t="s">
        <v>23</v>
      </c>
      <c r="B328" t="s">
        <v>206</v>
      </c>
    </row>
    <row r="329" spans="1:2" x14ac:dyDescent="0.35">
      <c r="A329" t="s">
        <v>20</v>
      </c>
      <c r="B329" t="s">
        <v>206</v>
      </c>
    </row>
    <row r="330" spans="1:2" x14ac:dyDescent="0.35">
      <c r="A330" t="s">
        <v>178</v>
      </c>
      <c r="B330" t="s">
        <v>206</v>
      </c>
    </row>
    <row r="331" spans="1:2" x14ac:dyDescent="0.35">
      <c r="A331" t="s">
        <v>176</v>
      </c>
      <c r="B331" t="s">
        <v>206</v>
      </c>
    </row>
    <row r="332" spans="1:2" x14ac:dyDescent="0.35">
      <c r="A332" t="s">
        <v>177</v>
      </c>
      <c r="B332" t="s">
        <v>206</v>
      </c>
    </row>
    <row r="333" spans="1:2" x14ac:dyDescent="0.35">
      <c r="A333" t="s">
        <v>174</v>
      </c>
      <c r="B333" t="s">
        <v>206</v>
      </c>
    </row>
    <row r="334" spans="1:2" x14ac:dyDescent="0.35">
      <c r="A334" t="s">
        <v>180</v>
      </c>
      <c r="B334" t="s">
        <v>206</v>
      </c>
    </row>
    <row r="335" spans="1:2" x14ac:dyDescent="0.35">
      <c r="A335" t="s">
        <v>182</v>
      </c>
      <c r="B335" t="s">
        <v>206</v>
      </c>
    </row>
    <row r="336" spans="1:2" x14ac:dyDescent="0.35">
      <c r="A336" t="s">
        <v>183</v>
      </c>
      <c r="B336" t="s">
        <v>206</v>
      </c>
    </row>
    <row r="337" spans="1:2" x14ac:dyDescent="0.35">
      <c r="A337" t="s">
        <v>285</v>
      </c>
      <c r="B337" t="s">
        <v>206</v>
      </c>
    </row>
    <row r="338" spans="1:2" x14ac:dyDescent="0.35">
      <c r="A338" t="s">
        <v>18</v>
      </c>
      <c r="B338" t="s">
        <v>203</v>
      </c>
    </row>
    <row r="339" spans="1:2" x14ac:dyDescent="0.35">
      <c r="A339" t="s">
        <v>175</v>
      </c>
      <c r="B339" t="s">
        <v>203</v>
      </c>
    </row>
    <row r="340" spans="1:2" x14ac:dyDescent="0.35">
      <c r="A340" t="s">
        <v>170</v>
      </c>
      <c r="B340" t="s">
        <v>203</v>
      </c>
    </row>
    <row r="341" spans="1:2" x14ac:dyDescent="0.35">
      <c r="A341" t="s">
        <v>19</v>
      </c>
      <c r="B341" t="s">
        <v>203</v>
      </c>
    </row>
    <row r="342" spans="1:2" x14ac:dyDescent="0.35">
      <c r="A342" t="s">
        <v>23</v>
      </c>
      <c r="B342" t="s">
        <v>203</v>
      </c>
    </row>
    <row r="343" spans="1:2" x14ac:dyDescent="0.35">
      <c r="A343" t="s">
        <v>20</v>
      </c>
      <c r="B343" t="s">
        <v>203</v>
      </c>
    </row>
    <row r="344" spans="1:2" x14ac:dyDescent="0.35">
      <c r="A344" t="s">
        <v>178</v>
      </c>
      <c r="B344" t="s">
        <v>203</v>
      </c>
    </row>
    <row r="345" spans="1:2" x14ac:dyDescent="0.35">
      <c r="A345" t="s">
        <v>176</v>
      </c>
      <c r="B345" t="s">
        <v>203</v>
      </c>
    </row>
    <row r="346" spans="1:2" x14ac:dyDescent="0.35">
      <c r="A346" t="s">
        <v>177</v>
      </c>
      <c r="B346" t="s">
        <v>203</v>
      </c>
    </row>
    <row r="347" spans="1:2" x14ac:dyDescent="0.35">
      <c r="A347" t="s">
        <v>174</v>
      </c>
      <c r="B347" t="s">
        <v>203</v>
      </c>
    </row>
    <row r="348" spans="1:2" x14ac:dyDescent="0.35">
      <c r="A348" t="s">
        <v>180</v>
      </c>
      <c r="B348" t="s">
        <v>203</v>
      </c>
    </row>
    <row r="349" spans="1:2" x14ac:dyDescent="0.35">
      <c r="A349" t="s">
        <v>182</v>
      </c>
      <c r="B349" t="s">
        <v>203</v>
      </c>
    </row>
    <row r="350" spans="1:2" x14ac:dyDescent="0.35">
      <c r="A350" t="s">
        <v>183</v>
      </c>
      <c r="B350" t="s">
        <v>203</v>
      </c>
    </row>
    <row r="351" spans="1:2" x14ac:dyDescent="0.35">
      <c r="A351" t="s">
        <v>285</v>
      </c>
      <c r="B351" t="s">
        <v>203</v>
      </c>
    </row>
    <row r="352" spans="1:2" x14ac:dyDescent="0.35">
      <c r="A352" t="s">
        <v>18</v>
      </c>
      <c r="B352" t="s">
        <v>202</v>
      </c>
    </row>
    <row r="353" spans="1:2" x14ac:dyDescent="0.35">
      <c r="A353" t="s">
        <v>175</v>
      </c>
      <c r="B353" t="s">
        <v>202</v>
      </c>
    </row>
    <row r="354" spans="1:2" x14ac:dyDescent="0.35">
      <c r="A354" t="s">
        <v>170</v>
      </c>
      <c r="B354" t="s">
        <v>202</v>
      </c>
    </row>
    <row r="355" spans="1:2" x14ac:dyDescent="0.35">
      <c r="A355" t="s">
        <v>19</v>
      </c>
      <c r="B355" t="s">
        <v>202</v>
      </c>
    </row>
    <row r="356" spans="1:2" x14ac:dyDescent="0.35">
      <c r="A356" t="s">
        <v>23</v>
      </c>
      <c r="B356" t="s">
        <v>202</v>
      </c>
    </row>
    <row r="357" spans="1:2" x14ac:dyDescent="0.35">
      <c r="A357" t="s">
        <v>20</v>
      </c>
      <c r="B357" t="s">
        <v>202</v>
      </c>
    </row>
    <row r="358" spans="1:2" x14ac:dyDescent="0.35">
      <c r="A358" t="s">
        <v>178</v>
      </c>
      <c r="B358" t="s">
        <v>202</v>
      </c>
    </row>
    <row r="359" spans="1:2" x14ac:dyDescent="0.35">
      <c r="A359" t="s">
        <v>176</v>
      </c>
      <c r="B359" t="s">
        <v>202</v>
      </c>
    </row>
    <row r="360" spans="1:2" x14ac:dyDescent="0.35">
      <c r="A360" t="s">
        <v>177</v>
      </c>
      <c r="B360" t="s">
        <v>202</v>
      </c>
    </row>
    <row r="361" spans="1:2" x14ac:dyDescent="0.35">
      <c r="A361" t="s">
        <v>174</v>
      </c>
      <c r="B361" t="s">
        <v>202</v>
      </c>
    </row>
    <row r="362" spans="1:2" x14ac:dyDescent="0.35">
      <c r="A362" t="s">
        <v>180</v>
      </c>
      <c r="B362" t="s">
        <v>202</v>
      </c>
    </row>
    <row r="363" spans="1:2" x14ac:dyDescent="0.35">
      <c r="A363" t="s">
        <v>182</v>
      </c>
      <c r="B363" t="s">
        <v>202</v>
      </c>
    </row>
    <row r="364" spans="1:2" x14ac:dyDescent="0.35">
      <c r="A364" t="s">
        <v>183</v>
      </c>
      <c r="B364" t="s">
        <v>202</v>
      </c>
    </row>
    <row r="365" spans="1:2" x14ac:dyDescent="0.35">
      <c r="A365" t="s">
        <v>285</v>
      </c>
      <c r="B365" t="s">
        <v>202</v>
      </c>
    </row>
    <row r="366" spans="1:2" x14ac:dyDescent="0.35">
      <c r="A366" t="s">
        <v>18</v>
      </c>
      <c r="B366" t="s">
        <v>200</v>
      </c>
    </row>
    <row r="367" spans="1:2" x14ac:dyDescent="0.35">
      <c r="A367" t="s">
        <v>175</v>
      </c>
      <c r="B367" t="s">
        <v>200</v>
      </c>
    </row>
    <row r="368" spans="1:2" x14ac:dyDescent="0.35">
      <c r="A368" t="s">
        <v>170</v>
      </c>
      <c r="B368" t="s">
        <v>200</v>
      </c>
    </row>
    <row r="369" spans="1:2" x14ac:dyDescent="0.35">
      <c r="A369" t="s">
        <v>19</v>
      </c>
      <c r="B369" t="s">
        <v>200</v>
      </c>
    </row>
    <row r="370" spans="1:2" x14ac:dyDescent="0.35">
      <c r="A370" t="s">
        <v>23</v>
      </c>
      <c r="B370" t="s">
        <v>200</v>
      </c>
    </row>
    <row r="371" spans="1:2" x14ac:dyDescent="0.35">
      <c r="A371" t="s">
        <v>20</v>
      </c>
      <c r="B371" t="s">
        <v>200</v>
      </c>
    </row>
    <row r="372" spans="1:2" x14ac:dyDescent="0.35">
      <c r="A372" t="s">
        <v>178</v>
      </c>
      <c r="B372" t="s">
        <v>200</v>
      </c>
    </row>
    <row r="373" spans="1:2" x14ac:dyDescent="0.35">
      <c r="A373" t="s">
        <v>176</v>
      </c>
      <c r="B373" t="s">
        <v>200</v>
      </c>
    </row>
    <row r="374" spans="1:2" x14ac:dyDescent="0.35">
      <c r="A374" t="s">
        <v>177</v>
      </c>
      <c r="B374" t="s">
        <v>200</v>
      </c>
    </row>
    <row r="375" spans="1:2" x14ac:dyDescent="0.35">
      <c r="A375" t="s">
        <v>174</v>
      </c>
      <c r="B375" t="s">
        <v>200</v>
      </c>
    </row>
    <row r="376" spans="1:2" x14ac:dyDescent="0.35">
      <c r="A376" t="s">
        <v>180</v>
      </c>
      <c r="B376" t="s">
        <v>200</v>
      </c>
    </row>
    <row r="377" spans="1:2" x14ac:dyDescent="0.35">
      <c r="A377" t="s">
        <v>182</v>
      </c>
      <c r="B377" t="s">
        <v>200</v>
      </c>
    </row>
    <row r="378" spans="1:2" x14ac:dyDescent="0.35">
      <c r="A378" t="s">
        <v>183</v>
      </c>
      <c r="B378" t="s">
        <v>200</v>
      </c>
    </row>
    <row r="379" spans="1:2" x14ac:dyDescent="0.35">
      <c r="A379" t="s">
        <v>285</v>
      </c>
      <c r="B379" t="s">
        <v>200</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128B-8C69-43E8-A17B-71D9485D22F8}">
  <sheetPr codeName="Tabelle13"/>
  <dimension ref="A1:H624"/>
  <sheetViews>
    <sheetView workbookViewId="0">
      <selection activeCell="E239" sqref="E239"/>
    </sheetView>
  </sheetViews>
  <sheetFormatPr baseColWidth="10" defaultRowHeight="14.5" x14ac:dyDescent="0.35"/>
  <cols>
    <col min="1" max="1" width="84.6328125" bestFit="1" customWidth="1"/>
    <col min="2" max="2" width="38" bestFit="1" customWidth="1"/>
    <col min="6" max="6" width="68.6328125" customWidth="1"/>
    <col min="7" max="7" width="62.453125" bestFit="1" customWidth="1"/>
  </cols>
  <sheetData>
    <row r="1" spans="1:8" x14ac:dyDescent="0.35">
      <c r="A1" t="str">
        <f>Blatt2!C2</f>
        <v/>
      </c>
      <c r="B1" t="str">
        <f>Blatt3!C2</f>
        <v/>
      </c>
      <c r="C1" t="str">
        <f>IF(B1="","",ROW())</f>
        <v/>
      </c>
      <c r="F1" t="str">
        <f>IF(ISERROR(MATCH(Blatt4!A1,Filter!$B:$B,0)),"",ROW())</f>
        <v/>
      </c>
      <c r="G1" t="str">
        <f>IF(F1="","",Blatt4!B1)</f>
        <v/>
      </c>
      <c r="H1" t="str">
        <f>IF(G1="","",IF(COUNTIF($G$1:G1,G1)=1,ROW(),""))</f>
        <v/>
      </c>
    </row>
    <row r="2" spans="1:8" x14ac:dyDescent="0.35">
      <c r="A2" t="str">
        <f>Blatt2!C3</f>
        <v/>
      </c>
      <c r="B2" t="str">
        <f>Blatt3!C3</f>
        <v/>
      </c>
      <c r="C2" t="str">
        <f t="shared" ref="C2:C65" si="0">IF(B2="","",ROW())</f>
        <v/>
      </c>
      <c r="F2" t="str">
        <f>IF(ISERROR(MATCH(Blatt4!A2,Filter!$B:$B,0)),"",ROW())</f>
        <v/>
      </c>
      <c r="G2" t="str">
        <f>IF(F2="","",Blatt4!B2)</f>
        <v/>
      </c>
      <c r="H2" t="str">
        <f>IF(G2="","",IF(COUNTIF($G$1:G2,G2)=1,ROW(),""))</f>
        <v/>
      </c>
    </row>
    <row r="3" spans="1:8" x14ac:dyDescent="0.35">
      <c r="A3" t="str">
        <f>Blatt2!C4</f>
        <v/>
      </c>
      <c r="B3" t="str">
        <f>Blatt3!C4</f>
        <v/>
      </c>
      <c r="C3" t="str">
        <f t="shared" si="0"/>
        <v/>
      </c>
      <c r="F3" t="str">
        <f>IF(ISERROR(MATCH(Blatt4!A3,Filter!$B:$B,0)),"",ROW())</f>
        <v/>
      </c>
      <c r="G3" t="str">
        <f>IF(F3="","",Blatt4!B3)</f>
        <v/>
      </c>
      <c r="H3" t="str">
        <f>IF(G3="","",IF(COUNTIF($G$1:G3,G3)=1,ROW(),""))</f>
        <v/>
      </c>
    </row>
    <row r="4" spans="1:8" x14ac:dyDescent="0.35">
      <c r="A4" t="str">
        <f>Blatt2!C5</f>
        <v/>
      </c>
      <c r="B4" t="str">
        <f>Blatt3!C5</f>
        <v/>
      </c>
      <c r="C4" t="str">
        <f t="shared" si="0"/>
        <v/>
      </c>
      <c r="F4" t="str">
        <f>IF(ISERROR(MATCH(Blatt4!A4,Filter!$B:$B,0)),"",ROW())</f>
        <v/>
      </c>
      <c r="G4" t="str">
        <f>IF(F4="","",Blatt4!B4)</f>
        <v/>
      </c>
      <c r="H4" t="str">
        <f>IF(G4="","",IF(COUNTIF($G$1:G4,G4)=1,ROW(),""))</f>
        <v/>
      </c>
    </row>
    <row r="5" spans="1:8" x14ac:dyDescent="0.35">
      <c r="A5" t="str">
        <f>Blatt2!C6</f>
        <v/>
      </c>
      <c r="B5" t="str">
        <f>Blatt3!C6</f>
        <v/>
      </c>
      <c r="C5" t="str">
        <f t="shared" si="0"/>
        <v/>
      </c>
      <c r="F5" t="str">
        <f>IF(ISERROR(MATCH(Blatt4!A5,Filter!$B:$B,0)),"",ROW())</f>
        <v/>
      </c>
      <c r="G5" t="str">
        <f>IF(F5="","",Blatt4!B5)</f>
        <v/>
      </c>
      <c r="H5" t="str">
        <f>IF(G5="","",IF(COUNTIF($G$1:G5,G5)=1,ROW(),""))</f>
        <v/>
      </c>
    </row>
    <row r="6" spans="1:8" x14ac:dyDescent="0.35">
      <c r="A6" t="str">
        <f>Blatt2!C7</f>
        <v/>
      </c>
      <c r="B6" t="str">
        <f>Blatt3!C7</f>
        <v/>
      </c>
      <c r="C6" t="str">
        <f t="shared" si="0"/>
        <v/>
      </c>
      <c r="F6" t="str">
        <f>IF(ISERROR(MATCH(Blatt4!A6,Filter!$B:$B,0)),"",ROW())</f>
        <v/>
      </c>
      <c r="G6" t="str">
        <f>IF(F6="","",Blatt4!B6)</f>
        <v/>
      </c>
      <c r="H6" t="str">
        <f>IF(G6="","",IF(COUNTIF($G$1:G6,G6)=1,ROW(),""))</f>
        <v/>
      </c>
    </row>
    <row r="7" spans="1:8" x14ac:dyDescent="0.35">
      <c r="A7" t="str">
        <f>Blatt2!C8</f>
        <v/>
      </c>
      <c r="B7" t="str">
        <f>Blatt3!C8</f>
        <v/>
      </c>
      <c r="C7" t="str">
        <f t="shared" si="0"/>
        <v/>
      </c>
      <c r="F7">
        <f>IF(ISERROR(MATCH(Blatt4!A7,Filter!$B:$B,0)),"",ROW())</f>
        <v>7</v>
      </c>
      <c r="G7" t="str">
        <f>IF(F7="","",Blatt4!B7)</f>
        <v>Effect scaling - Uniform scaling - Separate acceleration and decleration</v>
      </c>
      <c r="H7">
        <f>IF(G7="","",IF(COUNTIF($G$1:G7,G7)=1,ROW(),""))</f>
        <v>7</v>
      </c>
    </row>
    <row r="8" spans="1:8" x14ac:dyDescent="0.35">
      <c r="A8" t="str">
        <f>Blatt2!C9</f>
        <v/>
      </c>
      <c r="B8" t="str">
        <f>Blatt3!C9</f>
        <v/>
      </c>
      <c r="C8" t="str">
        <f t="shared" si="0"/>
        <v/>
      </c>
      <c r="F8">
        <f>IF(ISERROR(MATCH(Blatt4!A8,Filter!$B:$B,0)),"",ROW())</f>
        <v>8</v>
      </c>
      <c r="G8" t="str">
        <f>IF(F8="","",Blatt4!B8)</f>
        <v>Effect scaling - Uniform scaling - Separate acceleration and decleration</v>
      </c>
      <c r="H8" t="str">
        <f>IF(G8="","",IF(COUNTIF($G$1:G8,G8)=1,ROW(),""))</f>
        <v/>
      </c>
    </row>
    <row r="9" spans="1:8" x14ac:dyDescent="0.35">
      <c r="A9" t="str">
        <f>Blatt2!C10</f>
        <v/>
      </c>
      <c r="B9" t="str">
        <f>Blatt3!C10</f>
        <v>Stärke</v>
      </c>
      <c r="C9">
        <f t="shared" si="0"/>
        <v>9</v>
      </c>
      <c r="F9" t="str">
        <f>IF(ISERROR(MATCH(Blatt4!A9,Filter!$B:$B,0)),"",ROW())</f>
        <v/>
      </c>
      <c r="G9" t="str">
        <f>IF(F9="","",Blatt4!B9)</f>
        <v/>
      </c>
      <c r="H9" t="str">
        <f>IF(G9="","",IF(COUNTIF($G$1:G9,G9)=1,ROW(),""))</f>
        <v/>
      </c>
    </row>
    <row r="10" spans="1:8" x14ac:dyDescent="0.35">
      <c r="A10" t="str">
        <f>Blatt2!C11</f>
        <v/>
      </c>
      <c r="B10" t="str">
        <f>Blatt3!C11</f>
        <v>Geschwindigkeit</v>
      </c>
      <c r="C10">
        <f t="shared" si="0"/>
        <v>10</v>
      </c>
      <c r="F10">
        <f>IF(ISERROR(MATCH(Blatt4!A10,Filter!$B:$B,0)),"",ROW())</f>
        <v>10</v>
      </c>
      <c r="G10" t="str">
        <f>IF(F10="","",Blatt4!B10)</f>
        <v>Effect scaling - Uniform scaling - Separate acceleration and decleration</v>
      </c>
      <c r="H10" t="str">
        <f>IF(G10="","",IF(COUNTIF($G$1:G10,G10)=1,ROW(),""))</f>
        <v/>
      </c>
    </row>
    <row r="11" spans="1:8" x14ac:dyDescent="0.35">
      <c r="A11" t="str">
        <f>Blatt2!C12</f>
        <v/>
      </c>
      <c r="B11" t="str">
        <f>Blatt3!C12</f>
        <v>Beschleunigung</v>
      </c>
      <c r="C11">
        <f t="shared" si="0"/>
        <v>11</v>
      </c>
      <c r="F11" t="str">
        <f>IF(ISERROR(MATCH(Blatt4!A11,Filter!$B:$B,0)),"",ROW())</f>
        <v/>
      </c>
      <c r="G11" t="str">
        <f>IF(F11="","",Blatt4!B11)</f>
        <v/>
      </c>
      <c r="H11" t="str">
        <f>IF(G11="","",IF(COUNTIF($G$1:G11,G11)=1,ROW(),""))</f>
        <v/>
      </c>
    </row>
    <row r="12" spans="1:8" x14ac:dyDescent="0.35">
      <c r="A12" t="str">
        <f>Blatt2!C13</f>
        <v/>
      </c>
      <c r="B12" t="str">
        <f>Blatt3!C13</f>
        <v>Smoothness</v>
      </c>
      <c r="C12">
        <f t="shared" si="0"/>
        <v>12</v>
      </c>
      <c r="F12">
        <f>IF(ISERROR(MATCH(Blatt4!A12,Filter!$B:$B,0)),"",ROW())</f>
        <v>12</v>
      </c>
      <c r="G12" t="str">
        <f>IF(F12="","",Blatt4!B12)</f>
        <v>Effect scaling - Uniform scaling - Separate front and back pitch</v>
      </c>
      <c r="H12">
        <f>IF(G12="","",IF(COUNTIF($G$1:G12,G12)=1,ROW(),""))</f>
        <v>12</v>
      </c>
    </row>
    <row r="13" spans="1:8" x14ac:dyDescent="0.35">
      <c r="A13" t="str">
        <f>Blatt2!C14</f>
        <v/>
      </c>
      <c r="B13" t="str">
        <f>Blatt3!C14</f>
        <v>Verfahrweg</v>
      </c>
      <c r="C13">
        <f t="shared" si="0"/>
        <v>13</v>
      </c>
      <c r="F13">
        <f>IF(ISERROR(MATCH(Blatt4!A13,Filter!$B:$B,0)),"",ROW())</f>
        <v>13</v>
      </c>
      <c r="G13" t="str">
        <f>IF(F13="","",Blatt4!B13)</f>
        <v>Effect scaling - Uniform scaling - Separate front and back pitch</v>
      </c>
      <c r="H13" t="str">
        <f>IF(G13="","",IF(COUNTIF($G$1:G13,G13)=1,ROW(),""))</f>
        <v/>
      </c>
    </row>
    <row r="14" spans="1:8" x14ac:dyDescent="0.35">
      <c r="A14" t="str">
        <f>Blatt2!C15</f>
        <v/>
      </c>
      <c r="B14" t="str">
        <f>Blatt3!C15</f>
        <v>Details</v>
      </c>
      <c r="C14">
        <f t="shared" si="0"/>
        <v>14</v>
      </c>
      <c r="F14" t="str">
        <f>IF(ISERROR(MATCH(Blatt4!A14,Filter!$B:$B,0)),"",ROW())</f>
        <v/>
      </c>
      <c r="G14" t="str">
        <f>IF(F14="","",Blatt4!B14)</f>
        <v/>
      </c>
      <c r="H14" t="str">
        <f>IF(G14="","",IF(COUNTIF($G$1:G14,G14)=1,ROW(),""))</f>
        <v/>
      </c>
    </row>
    <row r="15" spans="1:8" x14ac:dyDescent="0.35">
      <c r="A15" t="str">
        <f>Blatt2!C16</f>
        <v/>
      </c>
      <c r="B15" t="str">
        <f>Blatt3!C16</f>
        <v>Telemetrie - Input Limit</v>
      </c>
      <c r="C15">
        <f t="shared" si="0"/>
        <v>15</v>
      </c>
      <c r="F15">
        <f>IF(ISERROR(MATCH(Blatt4!A15,Filter!$B:$B,0)),"",ROW())</f>
        <v>15</v>
      </c>
      <c r="G15" t="str">
        <f>IF(F15="","",Blatt4!B15)</f>
        <v>Effect scaling - Uniform scaling - Separate front and back pitch</v>
      </c>
      <c r="H15" t="str">
        <f>IF(G15="","",IF(COUNTIF($G$1:G15,G15)=1,ROW(),""))</f>
        <v/>
      </c>
    </row>
    <row r="16" spans="1:8" x14ac:dyDescent="0.35">
      <c r="A16" t="str">
        <f>Blatt2!C17</f>
        <v/>
      </c>
      <c r="B16" t="str">
        <f>Blatt3!C17</f>
        <v>Totzone</v>
      </c>
      <c r="C16">
        <f t="shared" si="0"/>
        <v>16</v>
      </c>
      <c r="F16">
        <f>IF(ISERROR(MATCH(Blatt4!A16,Filter!$B:$B,0)),"",ROW())</f>
        <v>16</v>
      </c>
      <c r="G16" t="str">
        <f>IF(F16="","",Blatt4!B16)</f>
        <v>Effect speed limiter - Acivity range based speed reduction</v>
      </c>
      <c r="H16">
        <f>IF(G16="","",IF(COUNTIF($G$1:G16,G16)=1,ROW(),""))</f>
        <v>16</v>
      </c>
    </row>
    <row r="17" spans="1:8" x14ac:dyDescent="0.35">
      <c r="A17" t="str">
        <f>Blatt2!C18</f>
        <v/>
      </c>
      <c r="B17" t="str">
        <f>Blatt3!C18</f>
        <v>Clipping - Overflow - Effekt Überlagerung</v>
      </c>
      <c r="C17">
        <f t="shared" si="0"/>
        <v>17</v>
      </c>
      <c r="F17">
        <f>IF(ISERROR(MATCH(Blatt4!A17,Filter!$B:$B,0)),"",ROW())</f>
        <v>17</v>
      </c>
      <c r="G17" t="str">
        <f>IF(F17="","",Blatt4!B17)</f>
        <v>Effect speed limiter - Acivity range based speed reduction</v>
      </c>
      <c r="H17" t="str">
        <f>IF(G17="","",IF(COUNTIF($G$1:G17,G17)=1,ROW(),""))</f>
        <v/>
      </c>
    </row>
    <row r="18" spans="1:8" x14ac:dyDescent="0.35">
      <c r="A18" t="str">
        <f>Blatt2!C19</f>
        <v/>
      </c>
      <c r="B18" t="str">
        <f>Blatt3!C19</f>
        <v/>
      </c>
      <c r="C18" t="str">
        <f t="shared" si="0"/>
        <v/>
      </c>
      <c r="F18">
        <f>IF(ISERROR(MATCH(Blatt4!A18,Filter!$B:$B,0)),"",ROW())</f>
        <v>18</v>
      </c>
      <c r="G18" t="str">
        <f>IF(F18="","",Blatt4!B18)</f>
        <v>Effect speed limiter - Acivity range based speed reduction</v>
      </c>
      <c r="H18" t="str">
        <f>IF(G18="","",IF(COUNTIF($G$1:G18,G18)=1,ROW(),""))</f>
        <v/>
      </c>
    </row>
    <row r="19" spans="1:8" x14ac:dyDescent="0.35">
      <c r="A19" t="str">
        <f>Blatt2!C20</f>
        <v/>
      </c>
      <c r="B19" t="str">
        <f>Blatt3!C20</f>
        <v/>
      </c>
      <c r="C19" t="str">
        <f t="shared" si="0"/>
        <v/>
      </c>
      <c r="F19" t="str">
        <f>IF(ISERROR(MATCH(Blatt4!A19,Filter!$B:$B,0)),"",ROW())</f>
        <v/>
      </c>
      <c r="G19" t="str">
        <f>IF(F19="","",Blatt4!B19)</f>
        <v/>
      </c>
      <c r="H19" t="str">
        <f>IF(G19="","",IF(COUNTIF($G$1:G19,G19)=1,ROW(),""))</f>
        <v/>
      </c>
    </row>
    <row r="20" spans="1:8" x14ac:dyDescent="0.35">
      <c r="A20" t="str">
        <f>Blatt2!C21</f>
        <v/>
      </c>
      <c r="B20" t="str">
        <f>Blatt3!C21</f>
        <v/>
      </c>
      <c r="C20" t="str">
        <f t="shared" si="0"/>
        <v/>
      </c>
      <c r="F20" t="str">
        <f>IF(ISERROR(MATCH(Blatt4!A20,Filter!$B:$B,0)),"",ROW())</f>
        <v/>
      </c>
      <c r="G20" t="str">
        <f>IF(F20="","",Blatt4!B20)</f>
        <v/>
      </c>
      <c r="H20" t="str">
        <f>IF(G20="","",IF(COUNTIF($G$1:G20,G20)=1,ROW(),""))</f>
        <v/>
      </c>
    </row>
    <row r="21" spans="1:8" x14ac:dyDescent="0.35">
      <c r="A21" t="str">
        <f>Blatt2!C22</f>
        <v/>
      </c>
      <c r="B21" t="str">
        <f>Blatt3!C22</f>
        <v/>
      </c>
      <c r="C21" t="str">
        <f t="shared" si="0"/>
        <v/>
      </c>
      <c r="F21">
        <f>IF(ISERROR(MATCH(Blatt4!A21,Filter!$B:$B,0)),"",ROW())</f>
        <v>21</v>
      </c>
      <c r="G21" t="str">
        <f>IF(F21="","",Blatt4!B21)</f>
        <v>Effect Speed Limiter - Enable effect axis speed limiter</v>
      </c>
      <c r="H21">
        <f>IF(G21="","",IF(COUNTIF($G$1:G21,G21)=1,ROW(),""))</f>
        <v>21</v>
      </c>
    </row>
    <row r="22" spans="1:8" x14ac:dyDescent="0.35">
      <c r="A22" t="str">
        <f>Blatt2!C23</f>
        <v/>
      </c>
      <c r="B22" t="str">
        <f>Blatt3!C23</f>
        <v/>
      </c>
      <c r="C22" t="str">
        <f t="shared" si="0"/>
        <v/>
      </c>
      <c r="F22">
        <f>IF(ISERROR(MATCH(Blatt4!A22,Filter!$B:$B,0)),"",ROW())</f>
        <v>22</v>
      </c>
      <c r="G22" t="str">
        <f>IF(F22="","",Blatt4!B22)</f>
        <v>Effect Speed Limiter - Enable effect axis speed limiter</v>
      </c>
      <c r="H22" t="str">
        <f>IF(G22="","",IF(COUNTIF($G$1:G22,G22)=1,ROW(),""))</f>
        <v/>
      </c>
    </row>
    <row r="23" spans="1:8" x14ac:dyDescent="0.35">
      <c r="A23" t="str">
        <f>Blatt2!C24</f>
        <v/>
      </c>
      <c r="B23" t="str">
        <f>Blatt3!C24</f>
        <v/>
      </c>
      <c r="C23" t="str">
        <f t="shared" si="0"/>
        <v/>
      </c>
      <c r="F23">
        <f>IF(ISERROR(MATCH(Blatt4!A23,Filter!$B:$B,0)),"",ROW())</f>
        <v>23</v>
      </c>
      <c r="G23" t="str">
        <f>IF(F23="","",Blatt4!B23)</f>
        <v>Effect Speed Limiter - Enable effect axis speed limiter</v>
      </c>
      <c r="H23" t="str">
        <f>IF(G23="","",IF(COUNTIF($G$1:G23,G23)=1,ROW(),""))</f>
        <v/>
      </c>
    </row>
    <row r="24" spans="1:8" x14ac:dyDescent="0.35">
      <c r="A24" t="str">
        <f>Blatt2!C25</f>
        <v/>
      </c>
      <c r="B24" t="str">
        <f>Blatt3!C25</f>
        <v/>
      </c>
      <c r="C24" t="str">
        <f t="shared" si="0"/>
        <v/>
      </c>
      <c r="F24" t="str">
        <f>IF(ISERROR(MATCH(Blatt4!A24,Filter!$B:$B,0)),"",ROW())</f>
        <v/>
      </c>
      <c r="G24" t="str">
        <f>IF(F24="","",Blatt4!B24)</f>
        <v/>
      </c>
      <c r="H24" t="str">
        <f>IF(G24="","",IF(COUNTIF($G$1:G24,G24)=1,ROW(),""))</f>
        <v/>
      </c>
    </row>
    <row r="25" spans="1:8" x14ac:dyDescent="0.35">
      <c r="A25" t="str">
        <f>Blatt2!C26</f>
        <v/>
      </c>
      <c r="B25" t="str">
        <f>Blatt3!C26</f>
        <v/>
      </c>
      <c r="C25" t="str">
        <f t="shared" si="0"/>
        <v/>
      </c>
      <c r="F25">
        <f>IF(ISERROR(MATCH(Blatt4!A25,Filter!$B:$B,0)),"",ROW())</f>
        <v>25</v>
      </c>
      <c r="G25" t="str">
        <f>IF(F25="","",Blatt4!B25)</f>
        <v>Effect Tuner</v>
      </c>
      <c r="H25">
        <f>IF(G25="","",IF(COUNTIF($G$1:G25,G25)=1,ROW(),""))</f>
        <v>25</v>
      </c>
    </row>
    <row r="26" spans="1:8" x14ac:dyDescent="0.35">
      <c r="A26" t="str">
        <f>Blatt2!C27</f>
        <v/>
      </c>
      <c r="B26" t="str">
        <f>Blatt3!C27</f>
        <v/>
      </c>
      <c r="C26" t="str">
        <f t="shared" si="0"/>
        <v/>
      </c>
      <c r="F26">
        <f>IF(ISERROR(MATCH(Blatt4!A26,Filter!$B:$B,0)),"",ROW())</f>
        <v>26</v>
      </c>
      <c r="G26" t="str">
        <f>IF(F26="","",Blatt4!B26)</f>
        <v>Effect Tuner</v>
      </c>
      <c r="H26" t="str">
        <f>IF(G26="","",IF(COUNTIF($G$1:G26,G26)=1,ROW(),""))</f>
        <v/>
      </c>
    </row>
    <row r="27" spans="1:8" x14ac:dyDescent="0.35">
      <c r="A27" t="str">
        <f>Blatt2!C28</f>
        <v/>
      </c>
      <c r="B27" t="str">
        <f>Blatt3!C28</f>
        <v/>
      </c>
      <c r="C27" t="str">
        <f t="shared" si="0"/>
        <v/>
      </c>
      <c r="F27">
        <f>IF(ISERROR(MATCH(Blatt4!A27,Filter!$B:$B,0)),"",ROW())</f>
        <v>27</v>
      </c>
      <c r="G27" t="str">
        <f>IF(F27="","",Blatt4!B27)</f>
        <v>Effekt Gain</v>
      </c>
      <c r="H27">
        <f>IF(G27="","",IF(COUNTIF($G$1:G27,G27)=1,ROW(),""))</f>
        <v>27</v>
      </c>
    </row>
    <row r="28" spans="1:8" x14ac:dyDescent="0.35">
      <c r="A28" t="str">
        <f>Blatt2!C29</f>
        <v/>
      </c>
      <c r="B28" t="str">
        <f>Blatt3!C29</f>
        <v/>
      </c>
      <c r="C28" t="str">
        <f t="shared" si="0"/>
        <v/>
      </c>
      <c r="F28">
        <f>IF(ISERROR(MATCH(Blatt4!A28,Filter!$B:$B,0)),"",ROW())</f>
        <v>28</v>
      </c>
      <c r="G28" t="str">
        <f>IF(F28="","",Blatt4!B28)</f>
        <v>Effekt Gain</v>
      </c>
      <c r="H28" t="str">
        <f>IF(G28="","",IF(COUNTIF($G$1:G28,G28)=1,ROW(),""))</f>
        <v/>
      </c>
    </row>
    <row r="29" spans="1:8" x14ac:dyDescent="0.35">
      <c r="A29" t="str">
        <f>Blatt2!C30</f>
        <v/>
      </c>
      <c r="B29" t="str">
        <f>Blatt3!C30</f>
        <v/>
      </c>
      <c r="C29" t="str">
        <f t="shared" si="0"/>
        <v/>
      </c>
      <c r="F29">
        <f>IF(ISERROR(MATCH(Blatt4!A29,Filter!$B:$B,0)),"",ROW())</f>
        <v>29</v>
      </c>
      <c r="G29" t="str">
        <f>IF(F29="","",Blatt4!B29)</f>
        <v>Effekt Gain</v>
      </c>
      <c r="H29" t="str">
        <f>IF(G29="","",IF(COUNTIF($G$1:G29,G29)=1,ROW(),""))</f>
        <v/>
      </c>
    </row>
    <row r="30" spans="1:8" x14ac:dyDescent="0.35">
      <c r="A30" t="str">
        <f>Blatt2!C31</f>
        <v/>
      </c>
      <c r="B30" t="str">
        <f>Blatt3!C31</f>
        <v/>
      </c>
      <c r="C30" t="str">
        <f t="shared" si="0"/>
        <v/>
      </c>
      <c r="F30">
        <f>IF(ISERROR(MATCH(Blatt4!A30,Filter!$B:$B,0)),"",ROW())</f>
        <v>30</v>
      </c>
      <c r="G30" t="str">
        <f>IF(F30="","",Blatt4!B30)</f>
        <v>Effekt Gain</v>
      </c>
      <c r="H30" t="str">
        <f>IF(G30="","",IF(COUNTIF($G$1:G30,G30)=1,ROW(),""))</f>
        <v/>
      </c>
    </row>
    <row r="31" spans="1:8" x14ac:dyDescent="0.35">
      <c r="A31" t="str">
        <f>Blatt2!C32</f>
        <v/>
      </c>
      <c r="B31" t="str">
        <f>Blatt3!C32</f>
        <v/>
      </c>
      <c r="C31" t="str">
        <f t="shared" si="0"/>
        <v/>
      </c>
      <c r="F31">
        <f>IF(ISERROR(MATCH(Blatt4!A31,Filter!$B:$B,0)),"",ROW())</f>
        <v>31</v>
      </c>
      <c r="G31" t="str">
        <f>IF(F31="","",Blatt4!B31)</f>
        <v>Effekt Gain</v>
      </c>
      <c r="H31" t="str">
        <f>IF(G31="","",IF(COUNTIF($G$1:G31,G31)=1,ROW(),""))</f>
        <v/>
      </c>
    </row>
    <row r="32" spans="1:8" x14ac:dyDescent="0.35">
      <c r="A32" t="str">
        <f>Blatt2!C33</f>
        <v/>
      </c>
      <c r="B32" t="str">
        <f>Blatt3!C33</f>
        <v/>
      </c>
      <c r="C32" t="str">
        <f t="shared" si="0"/>
        <v/>
      </c>
      <c r="F32" t="str">
        <f>IF(ISERROR(MATCH(Blatt4!A32,Filter!$B:$B,0)),"",ROW())</f>
        <v/>
      </c>
      <c r="G32" t="str">
        <f>IF(F32="","",Blatt4!B32)</f>
        <v/>
      </c>
      <c r="H32" t="str">
        <f>IF(G32="","",IF(COUNTIF($G$1:G32,G32)=1,ROW(),""))</f>
        <v/>
      </c>
    </row>
    <row r="33" spans="1:8" x14ac:dyDescent="0.35">
      <c r="A33" t="str">
        <f>Blatt2!C34</f>
        <v/>
      </c>
      <c r="B33" t="str">
        <f>Blatt3!C34</f>
        <v/>
      </c>
      <c r="C33" t="str">
        <f t="shared" si="0"/>
        <v/>
      </c>
      <c r="F33">
        <f>IF(ISERROR(MATCH(Blatt4!A33,Filter!$B:$B,0)),"",ROW())</f>
        <v>33</v>
      </c>
      <c r="G33" t="str">
        <f>IF(F33="","",Blatt4!B33)</f>
        <v>Effekt Gain</v>
      </c>
      <c r="H33" t="str">
        <f>IF(G33="","",IF(COUNTIF($G$1:G33,G33)=1,ROW(),""))</f>
        <v/>
      </c>
    </row>
    <row r="34" spans="1:8" x14ac:dyDescent="0.35">
      <c r="A34" t="str">
        <f>Blatt2!C35</f>
        <v/>
      </c>
      <c r="B34" t="str">
        <f>Blatt3!C35</f>
        <v/>
      </c>
      <c r="C34" t="str">
        <f t="shared" si="0"/>
        <v/>
      </c>
      <c r="F34">
        <f>IF(ISERROR(MATCH(Blatt4!A34,Filter!$B:$B,0)),"",ROW())</f>
        <v>34</v>
      </c>
      <c r="G34" t="str">
        <f>IF(F34="","",Blatt4!B34)</f>
        <v>Effekt Gain</v>
      </c>
      <c r="H34" t="str">
        <f>IF(G34="","",IF(COUNTIF($G$1:G34,G34)=1,ROW(),""))</f>
        <v/>
      </c>
    </row>
    <row r="35" spans="1:8" x14ac:dyDescent="0.35">
      <c r="A35" t="str">
        <f>Blatt2!C36</f>
        <v/>
      </c>
      <c r="B35" t="str">
        <f>Blatt3!C36</f>
        <v/>
      </c>
      <c r="C35" t="str">
        <f t="shared" si="0"/>
        <v/>
      </c>
      <c r="F35" t="str">
        <f>IF(ISERROR(MATCH(Blatt4!A35,Filter!$B:$B,0)),"",ROW())</f>
        <v/>
      </c>
      <c r="G35" t="str">
        <f>IF(F35="","",Blatt4!B35)</f>
        <v/>
      </c>
      <c r="H35" t="str">
        <f>IF(G35="","",IF(COUNTIF($G$1:G35,G35)=1,ROW(),""))</f>
        <v/>
      </c>
    </row>
    <row r="36" spans="1:8" x14ac:dyDescent="0.35">
      <c r="A36" t="str">
        <f>Blatt2!C37</f>
        <v/>
      </c>
      <c r="B36" t="str">
        <f>Blatt3!C37</f>
        <v/>
      </c>
      <c r="C36" t="str">
        <f t="shared" si="0"/>
        <v/>
      </c>
      <c r="F36">
        <f>IF(ISERROR(MATCH(Blatt4!A36,Filter!$B:$B,0)),"",ROW())</f>
        <v>36</v>
      </c>
      <c r="G36" t="str">
        <f>IF(F36="","",Blatt4!B36)</f>
        <v>Enable adaptive Washout</v>
      </c>
      <c r="H36">
        <f>IF(G36="","",IF(COUNTIF($G$1:G36,G36)=1,ROW(),""))</f>
        <v>36</v>
      </c>
    </row>
    <row r="37" spans="1:8" x14ac:dyDescent="0.35">
      <c r="A37" t="str">
        <f>Blatt2!C38</f>
        <v/>
      </c>
      <c r="B37" t="str">
        <f>Blatt3!C38</f>
        <v/>
      </c>
      <c r="C37" t="str">
        <f t="shared" si="0"/>
        <v/>
      </c>
      <c r="F37">
        <f>IF(ISERROR(MATCH(Blatt4!A37,Filter!$B:$B,0)),"",ROW())</f>
        <v>37</v>
      </c>
      <c r="G37" t="str">
        <f>IF(F37="","",Blatt4!B37)</f>
        <v>Enable adaptive Washout</v>
      </c>
      <c r="H37" t="str">
        <f>IF(G37="","",IF(COUNTIF($G$1:G37,G37)=1,ROW(),""))</f>
        <v/>
      </c>
    </row>
    <row r="38" spans="1:8" x14ac:dyDescent="0.35">
      <c r="A38" t="str">
        <f>Blatt2!C39</f>
        <v/>
      </c>
      <c r="B38" t="str">
        <f>Blatt3!C39</f>
        <v/>
      </c>
      <c r="C38" t="str">
        <f t="shared" si="0"/>
        <v/>
      </c>
      <c r="F38">
        <f>IF(ISERROR(MATCH(Blatt4!A38,Filter!$B:$B,0)),"",ROW())</f>
        <v>38</v>
      </c>
      <c r="G38" t="str">
        <f>IF(F38="","",Blatt4!B38)</f>
        <v>Enable adaptive Washout</v>
      </c>
      <c r="H38" t="str">
        <f>IF(G38="","",IF(COUNTIF($G$1:G38,G38)=1,ROW(),""))</f>
        <v/>
      </c>
    </row>
    <row r="39" spans="1:8" x14ac:dyDescent="0.35">
      <c r="A39" t="str">
        <f>Blatt2!C40</f>
        <v/>
      </c>
      <c r="B39" t="str">
        <f>Blatt3!C40</f>
        <v/>
      </c>
      <c r="C39" t="str">
        <f t="shared" si="0"/>
        <v/>
      </c>
      <c r="F39" t="str">
        <f>IF(ISERROR(MATCH(Blatt4!A39,Filter!$B:$B,0)),"",ROW())</f>
        <v/>
      </c>
      <c r="G39" t="str">
        <f>IF(F39="","",Blatt4!B39)</f>
        <v/>
      </c>
      <c r="H39" t="str">
        <f>IF(G39="","",IF(COUNTIF($G$1:G39,G39)=1,ROW(),""))</f>
        <v/>
      </c>
    </row>
    <row r="40" spans="1:8" x14ac:dyDescent="0.35">
      <c r="A40" t="str">
        <f>Blatt2!C41</f>
        <v/>
      </c>
      <c r="B40" t="str">
        <f>Blatt3!C41</f>
        <v/>
      </c>
      <c r="C40" t="str">
        <f t="shared" si="0"/>
        <v/>
      </c>
      <c r="F40">
        <f>IF(ISERROR(MATCH(Blatt4!A40,Filter!$B:$B,0)),"",ROW())</f>
        <v>40</v>
      </c>
      <c r="G40" t="str">
        <f>IF(F40="","",Blatt4!B40)</f>
        <v>Enable adaptive Washout</v>
      </c>
      <c r="H40" t="str">
        <f>IF(G40="","",IF(COUNTIF($G$1:G40,G40)=1,ROW(),""))</f>
        <v/>
      </c>
    </row>
    <row r="41" spans="1:8" x14ac:dyDescent="0.35">
      <c r="A41" t="str">
        <f>Blatt2!C42</f>
        <v/>
      </c>
      <c r="B41" t="str">
        <f>Blatt3!C42</f>
        <v/>
      </c>
      <c r="C41" t="str">
        <f t="shared" si="0"/>
        <v/>
      </c>
      <c r="F41" t="str">
        <f>IF(ISERROR(MATCH(Blatt4!A41,Filter!$B:$B,0)),"",ROW())</f>
        <v/>
      </c>
      <c r="G41" t="str">
        <f>IF(F41="","",Blatt4!B41)</f>
        <v/>
      </c>
      <c r="H41" t="str">
        <f>IF(G41="","",IF(COUNTIF($G$1:G41,G41)=1,ROW(),""))</f>
        <v/>
      </c>
    </row>
    <row r="42" spans="1:8" x14ac:dyDescent="0.35">
      <c r="A42" t="str">
        <f>Blatt2!C43</f>
        <v/>
      </c>
      <c r="B42" t="str">
        <f>Blatt3!C43</f>
        <v/>
      </c>
      <c r="C42" t="str">
        <f t="shared" si="0"/>
        <v/>
      </c>
      <c r="F42">
        <f>IF(ISERROR(MATCH(Blatt4!A42,Filter!$B:$B,0)),"",ROW())</f>
        <v>42</v>
      </c>
      <c r="G42" t="str">
        <f>IF(F42="","",Blatt4!B42)</f>
        <v>Front / rear bias (Center of rotation)</v>
      </c>
      <c r="H42">
        <f>IF(G42="","",IF(COUNTIF($G$1:G42,G42)=1,ROW(),""))</f>
        <v>42</v>
      </c>
    </row>
    <row r="43" spans="1:8" x14ac:dyDescent="0.35">
      <c r="A43" t="str">
        <f>Blatt2!C44</f>
        <v/>
      </c>
      <c r="B43" t="str">
        <f>Blatt3!C44</f>
        <v/>
      </c>
      <c r="C43" t="str">
        <f t="shared" si="0"/>
        <v/>
      </c>
      <c r="F43">
        <f>IF(ISERROR(MATCH(Blatt4!A43,Filter!$B:$B,0)),"",ROW())</f>
        <v>43</v>
      </c>
      <c r="G43" t="str">
        <f>IF(F43="","",Blatt4!B43)</f>
        <v>Front / rear bias (Center of rotation)</v>
      </c>
      <c r="H43" t="str">
        <f>IF(G43="","",IF(COUNTIF($G$1:G43,G43)=1,ROW(),""))</f>
        <v/>
      </c>
    </row>
    <row r="44" spans="1:8" x14ac:dyDescent="0.35">
      <c r="A44" t="str">
        <f>Blatt2!C45</f>
        <v/>
      </c>
      <c r="B44" t="str">
        <f>Blatt3!C45</f>
        <v/>
      </c>
      <c r="C44" t="str">
        <f t="shared" si="0"/>
        <v/>
      </c>
      <c r="F44">
        <f>IF(ISERROR(MATCH(Blatt4!A44,Filter!$B:$B,0)),"",ROW())</f>
        <v>44</v>
      </c>
      <c r="G44" t="str">
        <f>IF(F44="","",Blatt4!B44)</f>
        <v>Front / rear bias (Center of rotation)</v>
      </c>
      <c r="H44" t="str">
        <f>IF(G44="","",IF(COUNTIF($G$1:G44,G44)=1,ROW(),""))</f>
        <v/>
      </c>
    </row>
    <row r="45" spans="1:8" x14ac:dyDescent="0.35">
      <c r="A45" t="str">
        <f>Blatt2!C46</f>
        <v/>
      </c>
      <c r="B45" t="str">
        <f>Blatt3!C46</f>
        <v/>
      </c>
      <c r="C45" t="str">
        <f t="shared" si="0"/>
        <v/>
      </c>
      <c r="F45">
        <f>IF(ISERROR(MATCH(Blatt4!A45,Filter!$B:$B,0)),"",ROW())</f>
        <v>45</v>
      </c>
      <c r="G45" t="str">
        <f>IF(F45="","",Blatt4!B45)</f>
        <v>Front / rear bias (Center of rotation)</v>
      </c>
      <c r="H45" t="str">
        <f>IF(G45="","",IF(COUNTIF($G$1:G45,G45)=1,ROW(),""))</f>
        <v/>
      </c>
    </row>
    <row r="46" spans="1:8" x14ac:dyDescent="0.35">
      <c r="A46" t="str">
        <f>Blatt2!C47</f>
        <v/>
      </c>
      <c r="B46" t="str">
        <f>Blatt3!C47</f>
        <v/>
      </c>
      <c r="C46" t="str">
        <f t="shared" si="0"/>
        <v/>
      </c>
      <c r="F46" t="str">
        <f>IF(ISERROR(MATCH(Blatt4!A46,Filter!$B:$B,0)),"",ROW())</f>
        <v/>
      </c>
      <c r="G46" t="str">
        <f>IF(F46="","",Blatt4!B46)</f>
        <v/>
      </c>
      <c r="H46" t="str">
        <f>IF(G46="","",IF(COUNTIF($G$1:G46,G46)=1,ROW(),""))</f>
        <v/>
      </c>
    </row>
    <row r="47" spans="1:8" x14ac:dyDescent="0.35">
      <c r="A47" t="str">
        <f>Blatt2!C48</f>
        <v/>
      </c>
      <c r="B47" t="str">
        <f>Blatt3!C48</f>
        <v/>
      </c>
      <c r="C47" t="str">
        <f t="shared" si="0"/>
        <v/>
      </c>
      <c r="F47">
        <f>IF(ISERROR(MATCH(Blatt4!A47,Filter!$B:$B,0)),"",ROW())</f>
        <v>47</v>
      </c>
      <c r="G47" t="str">
        <f>IF(F47="","",Blatt4!B47)</f>
        <v>Front / rear bias (Center of rotation)</v>
      </c>
      <c r="H47" t="str">
        <f>IF(G47="","",IF(COUNTIF($G$1:G47,G47)=1,ROW(),""))</f>
        <v/>
      </c>
    </row>
    <row r="48" spans="1:8" x14ac:dyDescent="0.35">
      <c r="A48" t="str">
        <f>Blatt2!C49</f>
        <v/>
      </c>
      <c r="B48" t="str">
        <f>Blatt3!C49</f>
        <v/>
      </c>
      <c r="C48" t="str">
        <f t="shared" si="0"/>
        <v/>
      </c>
      <c r="F48">
        <f>IF(ISERROR(MATCH(Blatt4!A48,Filter!$B:$B,0)),"",ROW())</f>
        <v>48</v>
      </c>
      <c r="G48" t="str">
        <f>IF(F48="","",Blatt4!B48)</f>
        <v>Global Motion Smoothing</v>
      </c>
      <c r="H48">
        <f>IF(G48="","",IF(COUNTIF($G$1:G48,G48)=1,ROW(),""))</f>
        <v>48</v>
      </c>
    </row>
    <row r="49" spans="1:8" x14ac:dyDescent="0.35">
      <c r="A49" t="str">
        <f>Blatt2!C50</f>
        <v/>
      </c>
      <c r="B49" t="str">
        <f>Blatt3!C50</f>
        <v/>
      </c>
      <c r="C49" t="str">
        <f t="shared" si="0"/>
        <v/>
      </c>
      <c r="F49">
        <f>IF(ISERROR(MATCH(Blatt4!A49,Filter!$B:$B,0)),"",ROW())</f>
        <v>49</v>
      </c>
      <c r="G49" t="str">
        <f>IF(F49="","",Blatt4!B49)</f>
        <v>Global Motion Smoothing</v>
      </c>
      <c r="H49" t="str">
        <f>IF(G49="","",IF(COUNTIF($G$1:G49,G49)=1,ROW(),""))</f>
        <v/>
      </c>
    </row>
    <row r="50" spans="1:8" x14ac:dyDescent="0.35">
      <c r="A50" t="str">
        <f>Blatt2!C51</f>
        <v/>
      </c>
      <c r="B50" t="str">
        <f>Blatt3!C51</f>
        <v/>
      </c>
      <c r="C50" t="str">
        <f t="shared" si="0"/>
        <v/>
      </c>
      <c r="F50">
        <f>IF(ISERROR(MATCH(Blatt4!A50,Filter!$B:$B,0)),"",ROW())</f>
        <v>50</v>
      </c>
      <c r="G50" t="str">
        <f>IF(F50="","",Blatt4!B50)</f>
        <v>Global Motion Smoothing</v>
      </c>
      <c r="H50" t="str">
        <f>IF(G50="","",IF(COUNTIF($G$1:G50,G50)=1,ROW(),""))</f>
        <v/>
      </c>
    </row>
    <row r="51" spans="1:8" x14ac:dyDescent="0.35">
      <c r="A51" t="str">
        <f>Blatt2!C52</f>
        <v/>
      </c>
      <c r="B51" t="str">
        <f>Blatt3!C52</f>
        <v/>
      </c>
      <c r="C51" t="str">
        <f t="shared" si="0"/>
        <v/>
      </c>
      <c r="F51">
        <f>IF(ISERROR(MATCH(Blatt4!A51,Filter!$B:$B,0)),"",ROW())</f>
        <v>51</v>
      </c>
      <c r="G51" t="str">
        <f>IF(F51="","",Blatt4!B51)</f>
        <v>Global Motion Smoothing</v>
      </c>
      <c r="H51" t="str">
        <f>IF(G51="","",IF(COUNTIF($G$1:G51,G51)=1,ROW(),""))</f>
        <v/>
      </c>
    </row>
    <row r="52" spans="1:8" x14ac:dyDescent="0.35">
      <c r="A52" t="str">
        <f>Blatt2!C53</f>
        <v/>
      </c>
      <c r="B52" t="str">
        <f>Blatt3!C53</f>
        <v/>
      </c>
      <c r="C52" t="str">
        <f t="shared" si="0"/>
        <v/>
      </c>
      <c r="F52">
        <f>IF(ISERROR(MATCH(Blatt4!A52,Filter!$B:$B,0)),"",ROW())</f>
        <v>52</v>
      </c>
      <c r="G52" t="str">
        <f>IF(F52="","",Blatt4!B52)</f>
        <v>Global Motion Smoothing</v>
      </c>
      <c r="H52" t="str">
        <f>IF(G52="","",IF(COUNTIF($G$1:G52,G52)=1,ROW(),""))</f>
        <v/>
      </c>
    </row>
    <row r="53" spans="1:8" x14ac:dyDescent="0.35">
      <c r="A53" t="str">
        <f>Blatt2!C54</f>
        <v/>
      </c>
      <c r="B53" t="str">
        <f>Blatt3!C54</f>
        <v/>
      </c>
      <c r="C53" t="str">
        <f t="shared" si="0"/>
        <v/>
      </c>
      <c r="F53">
        <f>IF(ISERROR(MATCH(Blatt4!A53,Filter!$B:$B,0)),"",ROW())</f>
        <v>53</v>
      </c>
      <c r="G53" t="str">
        <f>IF(F53="","",Blatt4!B53)</f>
        <v>Global Motion Smoothing</v>
      </c>
      <c r="H53" t="str">
        <f>IF(G53="","",IF(COUNTIF($G$1:G53,G53)=1,ROW(),""))</f>
        <v/>
      </c>
    </row>
    <row r="54" spans="1:8" x14ac:dyDescent="0.35">
      <c r="A54" t="str">
        <f>Blatt2!C55</f>
        <v/>
      </c>
      <c r="B54" t="str">
        <f>Blatt3!C55</f>
        <v/>
      </c>
      <c r="C54" t="str">
        <f t="shared" si="0"/>
        <v/>
      </c>
      <c r="F54" t="str">
        <f>IF(ISERROR(MATCH(Blatt4!A54,Filter!$B:$B,0)),"",ROW())</f>
        <v/>
      </c>
      <c r="G54" t="str">
        <f>IF(F54="","",Blatt4!B54)</f>
        <v/>
      </c>
      <c r="H54" t="str">
        <f>IF(G54="","",IF(COUNTIF($G$1:G54,G54)=1,ROW(),""))</f>
        <v/>
      </c>
    </row>
    <row r="55" spans="1:8" x14ac:dyDescent="0.35">
      <c r="A55" t="str">
        <f>Blatt2!C56</f>
        <v/>
      </c>
      <c r="B55" t="str">
        <f>Blatt3!C56</f>
        <v/>
      </c>
      <c r="C55" t="str">
        <f t="shared" si="0"/>
        <v/>
      </c>
      <c r="F55">
        <f>IF(ISERROR(MATCH(Blatt4!A55,Filter!$B:$B,0)),"",ROW())</f>
        <v>55</v>
      </c>
      <c r="G55" t="str">
        <f>IF(F55="","",Blatt4!B55)</f>
        <v>Haptics Effect Gain</v>
      </c>
      <c r="H55">
        <f>IF(G55="","",IF(COUNTIF($G$1:G55,G55)=1,ROW(),""))</f>
        <v>55</v>
      </c>
    </row>
    <row r="56" spans="1:8" x14ac:dyDescent="0.35">
      <c r="A56" t="str">
        <f>Blatt2!C57</f>
        <v/>
      </c>
      <c r="B56" t="str">
        <f>Blatt3!C57</f>
        <v/>
      </c>
      <c r="C56" t="str">
        <f t="shared" si="0"/>
        <v/>
      </c>
      <c r="F56">
        <f>IF(ISERROR(MATCH(Blatt4!A56,Filter!$B:$B,0)),"",ROW())</f>
        <v>56</v>
      </c>
      <c r="G56" t="str">
        <f>IF(F56="","",Blatt4!B56)</f>
        <v>Haptics Effect Gain</v>
      </c>
      <c r="H56" t="str">
        <f>IF(G56="","",IF(COUNTIF($G$1:G56,G56)=1,ROW(),""))</f>
        <v/>
      </c>
    </row>
    <row r="57" spans="1:8" x14ac:dyDescent="0.35">
      <c r="A57" t="str">
        <f>Blatt2!C58</f>
        <v/>
      </c>
      <c r="B57" t="str">
        <f>Blatt3!C58</f>
        <v/>
      </c>
      <c r="C57" t="str">
        <f t="shared" si="0"/>
        <v/>
      </c>
      <c r="F57">
        <f>IF(ISERROR(MATCH(Blatt4!A57,Filter!$B:$B,0)),"",ROW())</f>
        <v>57</v>
      </c>
      <c r="G57" t="str">
        <f>IF(F57="","",Blatt4!B57)</f>
        <v>Haptics Effect Gain</v>
      </c>
      <c r="H57" t="str">
        <f>IF(G57="","",IF(COUNTIF($G$1:G57,G57)=1,ROW(),""))</f>
        <v/>
      </c>
    </row>
    <row r="58" spans="1:8" x14ac:dyDescent="0.35">
      <c r="A58" t="str">
        <f>Blatt2!C59</f>
        <v/>
      </c>
      <c r="B58" t="str">
        <f>Blatt3!C59</f>
        <v/>
      </c>
      <c r="C58" t="str">
        <f t="shared" si="0"/>
        <v/>
      </c>
      <c r="F58" t="str">
        <f>IF(ISERROR(MATCH(Blatt4!A58,Filter!$B:$B,0)),"",ROW())</f>
        <v/>
      </c>
      <c r="G58" t="str">
        <f>IF(F58="","",Blatt4!B58)</f>
        <v/>
      </c>
      <c r="H58" t="str">
        <f>IF(G58="","",IF(COUNTIF($G$1:G58,G58)=1,ROW(),""))</f>
        <v/>
      </c>
    </row>
    <row r="59" spans="1:8" x14ac:dyDescent="0.35">
      <c r="A59" t="str">
        <f>Blatt2!C60</f>
        <v/>
      </c>
      <c r="B59" t="str">
        <f>Blatt3!C60</f>
        <v/>
      </c>
      <c r="C59" t="str">
        <f t="shared" si="0"/>
        <v/>
      </c>
      <c r="F59">
        <f>IF(ISERROR(MATCH(Blatt4!A59,Filter!$B:$B,0)),"",ROW())</f>
        <v>59</v>
      </c>
      <c r="G59" t="str">
        <f>IF(F59="","",Blatt4!B59)</f>
        <v>Haptics Gain</v>
      </c>
      <c r="H59">
        <f>IF(G59="","",IF(COUNTIF($G$1:G59,G59)=1,ROW(),""))</f>
        <v>59</v>
      </c>
    </row>
    <row r="60" spans="1:8" x14ac:dyDescent="0.35">
      <c r="A60" t="str">
        <f>Blatt2!C61</f>
        <v/>
      </c>
      <c r="B60" t="str">
        <f>Blatt3!C61</f>
        <v/>
      </c>
      <c r="C60" t="str">
        <f t="shared" si="0"/>
        <v/>
      </c>
      <c r="F60">
        <f>IF(ISERROR(MATCH(Blatt4!A60,Filter!$B:$B,0)),"",ROW())</f>
        <v>60</v>
      </c>
      <c r="G60" t="str">
        <f>IF(F60="","",Blatt4!B60)</f>
        <v>Haptics Gain</v>
      </c>
      <c r="H60" t="str">
        <f>IF(G60="","",IF(COUNTIF($G$1:G60,G60)=1,ROW(),""))</f>
        <v/>
      </c>
    </row>
    <row r="61" spans="1:8" x14ac:dyDescent="0.35">
      <c r="A61" t="str">
        <f>Blatt2!C62</f>
        <v/>
      </c>
      <c r="B61" t="str">
        <f>Blatt3!C62</f>
        <v/>
      </c>
      <c r="C61" t="str">
        <f t="shared" si="0"/>
        <v/>
      </c>
      <c r="F61">
        <f>IF(ISERROR(MATCH(Blatt4!A61,Filter!$B:$B,0)),"",ROW())</f>
        <v>61</v>
      </c>
      <c r="G61" t="str">
        <f>IF(F61="","",Blatt4!B61)</f>
        <v>Haptics Gain</v>
      </c>
      <c r="H61" t="str">
        <f>IF(G61="","",IF(COUNTIF($G$1:G61,G61)=1,ROW(),""))</f>
        <v/>
      </c>
    </row>
    <row r="62" spans="1:8" x14ac:dyDescent="0.35">
      <c r="A62" t="str">
        <f>Blatt2!C63</f>
        <v/>
      </c>
      <c r="B62" t="str">
        <f>Blatt3!C63</f>
        <v/>
      </c>
      <c r="C62" t="str">
        <f t="shared" si="0"/>
        <v/>
      </c>
      <c r="F62" t="str">
        <f>IF(ISERROR(MATCH(Blatt4!A62,Filter!$B:$B,0)),"",ROW())</f>
        <v/>
      </c>
      <c r="G62" t="str">
        <f>IF(F62="","",Blatt4!B62)</f>
        <v/>
      </c>
      <c r="H62" t="str">
        <f>IF(G62="","",IF(COUNTIF($G$1:G62,G62)=1,ROW(),""))</f>
        <v/>
      </c>
    </row>
    <row r="63" spans="1:8" x14ac:dyDescent="0.35">
      <c r="A63" t="str">
        <f>Blatt2!C64</f>
        <v/>
      </c>
      <c r="B63" t="str">
        <f>Blatt3!C64</f>
        <v/>
      </c>
      <c r="C63" t="str">
        <f t="shared" si="0"/>
        <v/>
      </c>
      <c r="F63">
        <f>IF(ISERROR(MATCH(Blatt4!A63,Filter!$B:$B,0)),"",ROW())</f>
        <v>63</v>
      </c>
      <c r="G63" t="str">
        <f>IF(F63="","",Blatt4!B63)</f>
        <v>Input Limit</v>
      </c>
      <c r="H63">
        <f>IF(G63="","",IF(COUNTIF($G$1:G63,G63)=1,ROW(),""))</f>
        <v>63</v>
      </c>
    </row>
    <row r="64" spans="1:8" x14ac:dyDescent="0.35">
      <c r="A64" t="str">
        <f>Blatt2!C65</f>
        <v/>
      </c>
      <c r="B64" t="str">
        <f>Blatt3!C65</f>
        <v/>
      </c>
      <c r="C64" t="str">
        <f t="shared" si="0"/>
        <v/>
      </c>
      <c r="F64">
        <f>IF(ISERROR(MATCH(Blatt4!A64,Filter!$B:$B,0)),"",ROW())</f>
        <v>64</v>
      </c>
      <c r="G64" t="str">
        <f>IF(F64="","",Blatt4!B64)</f>
        <v>Input Limit</v>
      </c>
      <c r="H64" t="str">
        <f>IF(G64="","",IF(COUNTIF($G$1:G64,G64)=1,ROW(),""))</f>
        <v/>
      </c>
    </row>
    <row r="65" spans="1:8" x14ac:dyDescent="0.35">
      <c r="A65" t="str">
        <f>Blatt2!C66</f>
        <v/>
      </c>
      <c r="B65" t="str">
        <f>Blatt3!C66</f>
        <v/>
      </c>
      <c r="C65" t="str">
        <f t="shared" si="0"/>
        <v/>
      </c>
      <c r="F65">
        <f>IF(ISERROR(MATCH(Blatt4!A65,Filter!$B:$B,0)),"",ROW())</f>
        <v>65</v>
      </c>
      <c r="G65" t="str">
        <f>IF(F65="","",Blatt4!B65)</f>
        <v>Input Limit</v>
      </c>
      <c r="H65" t="str">
        <f>IF(G65="","",IF(COUNTIF($G$1:G65,G65)=1,ROW(),""))</f>
        <v/>
      </c>
    </row>
    <row r="66" spans="1:8" x14ac:dyDescent="0.35">
      <c r="A66" t="str">
        <f>Blatt2!C67</f>
        <v/>
      </c>
      <c r="B66" t="str">
        <f>Blatt3!C67</f>
        <v/>
      </c>
      <c r="C66" t="str">
        <f t="shared" ref="C66:C129" si="1">IF(B66="","",ROW())</f>
        <v/>
      </c>
      <c r="F66">
        <f>IF(ISERROR(MATCH(Blatt4!A66,Filter!$B:$B,0)),"",ROW())</f>
        <v>66</v>
      </c>
      <c r="G66" t="str">
        <f>IF(F66="","",Blatt4!B66)</f>
        <v>Input Limit</v>
      </c>
      <c r="H66" t="str">
        <f>IF(G66="","",IF(COUNTIF($G$1:G66,G66)=1,ROW(),""))</f>
        <v/>
      </c>
    </row>
    <row r="67" spans="1:8" x14ac:dyDescent="0.35">
      <c r="A67" t="str">
        <f>Blatt2!C68</f>
        <v/>
      </c>
      <c r="B67" t="str">
        <f>Blatt3!C68</f>
        <v/>
      </c>
      <c r="C67" t="str">
        <f t="shared" si="1"/>
        <v/>
      </c>
      <c r="F67">
        <f>IF(ISERROR(MATCH(Blatt4!A67,Filter!$B:$B,0)),"",ROW())</f>
        <v>67</v>
      </c>
      <c r="G67" t="str">
        <f>IF(F67="","",Blatt4!B67)</f>
        <v>Input Limit</v>
      </c>
      <c r="H67" t="str">
        <f>IF(G67="","",IF(COUNTIF($G$1:G67,G67)=1,ROW(),""))</f>
        <v/>
      </c>
    </row>
    <row r="68" spans="1:8" x14ac:dyDescent="0.35">
      <c r="A68" t="str">
        <f>Blatt2!C69</f>
        <v/>
      </c>
      <c r="B68" t="str">
        <f>Blatt3!C69</f>
        <v/>
      </c>
      <c r="C68" t="str">
        <f t="shared" si="1"/>
        <v/>
      </c>
      <c r="F68" t="str">
        <f>IF(ISERROR(MATCH(Blatt4!A68,Filter!$B:$B,0)),"",ROW())</f>
        <v/>
      </c>
      <c r="G68" t="str">
        <f>IF(F68="","",Blatt4!B68)</f>
        <v/>
      </c>
      <c r="H68" t="str">
        <f>IF(G68="","",IF(COUNTIF($G$1:G68,G68)=1,ROW(),""))</f>
        <v/>
      </c>
    </row>
    <row r="69" spans="1:8" x14ac:dyDescent="0.35">
      <c r="A69" t="str">
        <f>Blatt2!C70</f>
        <v/>
      </c>
      <c r="B69" t="str">
        <f>Blatt3!C70</f>
        <v/>
      </c>
      <c r="C69" t="str">
        <f t="shared" si="1"/>
        <v/>
      </c>
      <c r="F69">
        <f>IF(ISERROR(MATCH(Blatt4!A69,Filter!$B:$B,0)),"",ROW())</f>
        <v>69</v>
      </c>
      <c r="G69" t="str">
        <f>IF(F69="","",Blatt4!B69)</f>
        <v>Input Limit</v>
      </c>
      <c r="H69" t="str">
        <f>IF(G69="","",IF(COUNTIF($G$1:G69,G69)=1,ROW(),""))</f>
        <v/>
      </c>
    </row>
    <row r="70" spans="1:8" x14ac:dyDescent="0.35">
      <c r="A70" t="str">
        <f>Blatt2!C71</f>
        <v/>
      </c>
      <c r="B70" t="str">
        <f>Blatt3!C71</f>
        <v/>
      </c>
      <c r="C70" t="str">
        <f t="shared" si="1"/>
        <v/>
      </c>
      <c r="F70">
        <f>IF(ISERROR(MATCH(Blatt4!A70,Filter!$B:$B,0)),"",ROW())</f>
        <v>70</v>
      </c>
      <c r="G70" t="str">
        <f>IF(F70="","",Blatt4!B70)</f>
        <v>Input Limit</v>
      </c>
      <c r="H70" t="str">
        <f>IF(G70="","",IF(COUNTIF($G$1:G70,G70)=1,ROW(),""))</f>
        <v/>
      </c>
    </row>
    <row r="71" spans="1:8" x14ac:dyDescent="0.35">
      <c r="A71" t="str">
        <f>Blatt2!C72</f>
        <v/>
      </c>
      <c r="B71" t="str">
        <f>Blatt3!C72</f>
        <v/>
      </c>
      <c r="C71" t="str">
        <f t="shared" si="1"/>
        <v/>
      </c>
      <c r="F71">
        <f>IF(ISERROR(MATCH(Blatt4!A71,Filter!$B:$B,0)),"",ROW())</f>
        <v>71</v>
      </c>
      <c r="G71" t="str">
        <f>IF(F71="","",Blatt4!B71)</f>
        <v>Main Plattform Gain</v>
      </c>
      <c r="H71">
        <f>IF(G71="","",IF(COUNTIF($G$1:G71,G71)=1,ROW(),""))</f>
        <v>71</v>
      </c>
    </row>
    <row r="72" spans="1:8" x14ac:dyDescent="0.35">
      <c r="A72" t="str">
        <f>Blatt2!C73</f>
        <v/>
      </c>
      <c r="B72" t="str">
        <f>Blatt3!C73</f>
        <v/>
      </c>
      <c r="C72" t="str">
        <f t="shared" si="1"/>
        <v/>
      </c>
      <c r="F72">
        <f>IF(ISERROR(MATCH(Blatt4!A72,Filter!$B:$B,0)),"",ROW())</f>
        <v>72</v>
      </c>
      <c r="G72" t="str">
        <f>IF(F72="","",Blatt4!B72)</f>
        <v>Main Plattform Gain</v>
      </c>
      <c r="H72" t="str">
        <f>IF(G72="","",IF(COUNTIF($G$1:G72,G72)=1,ROW(),""))</f>
        <v/>
      </c>
    </row>
    <row r="73" spans="1:8" x14ac:dyDescent="0.35">
      <c r="A73" t="str">
        <f>Blatt2!C74</f>
        <v/>
      </c>
      <c r="B73" t="str">
        <f>Blatt3!C74</f>
        <v/>
      </c>
      <c r="C73" t="str">
        <f t="shared" si="1"/>
        <v/>
      </c>
      <c r="F73">
        <f>IF(ISERROR(MATCH(Blatt4!A73,Filter!$B:$B,0)),"",ROW())</f>
        <v>73</v>
      </c>
      <c r="G73" t="str">
        <f>IF(F73="","",Blatt4!B73)</f>
        <v>Main Plattform Gain</v>
      </c>
      <c r="H73" t="str">
        <f>IF(G73="","",IF(COUNTIF($G$1:G73,G73)=1,ROW(),""))</f>
        <v/>
      </c>
    </row>
    <row r="74" spans="1:8" x14ac:dyDescent="0.35">
      <c r="A74" t="str">
        <f>Blatt2!C75</f>
        <v/>
      </c>
      <c r="B74" t="str">
        <f>Blatt3!C75</f>
        <v/>
      </c>
      <c r="C74" t="str">
        <f t="shared" si="1"/>
        <v/>
      </c>
      <c r="F74">
        <f>IF(ISERROR(MATCH(Blatt4!A74,Filter!$B:$B,0)),"",ROW())</f>
        <v>74</v>
      </c>
      <c r="G74" t="str">
        <f>IF(F74="","",Blatt4!B74)</f>
        <v>Main Plattform Gain</v>
      </c>
      <c r="H74" t="str">
        <f>IF(G74="","",IF(COUNTIF($G$1:G74,G74)=1,ROW(),""))</f>
        <v/>
      </c>
    </row>
    <row r="75" spans="1:8" x14ac:dyDescent="0.35">
      <c r="A75" t="str">
        <f>Blatt2!C76</f>
        <v/>
      </c>
      <c r="B75" t="str">
        <f>Blatt3!C76</f>
        <v/>
      </c>
      <c r="C75" t="str">
        <f t="shared" si="1"/>
        <v/>
      </c>
      <c r="F75">
        <f>IF(ISERROR(MATCH(Blatt4!A75,Filter!$B:$B,0)),"",ROW())</f>
        <v>75</v>
      </c>
      <c r="G75" t="str">
        <f>IF(F75="","",Blatt4!B75)</f>
        <v>Main Plattform Gain</v>
      </c>
      <c r="H75" t="str">
        <f>IF(G75="","",IF(COUNTIF($G$1:G75,G75)=1,ROW(),""))</f>
        <v/>
      </c>
    </row>
    <row r="76" spans="1:8" x14ac:dyDescent="0.35">
      <c r="A76" t="str">
        <f>Blatt2!C77</f>
        <v/>
      </c>
      <c r="B76" t="str">
        <f>Blatt3!C77</f>
        <v/>
      </c>
      <c r="C76" t="str">
        <f t="shared" si="1"/>
        <v/>
      </c>
      <c r="F76" t="str">
        <f>IF(ISERROR(MATCH(Blatt4!A76,Filter!$B:$B,0)),"",ROW())</f>
        <v/>
      </c>
      <c r="G76" t="str">
        <f>IF(F76="","",Blatt4!B76)</f>
        <v/>
      </c>
      <c r="H76" t="str">
        <f>IF(G76="","",IF(COUNTIF($G$1:G76,G76)=1,ROW(),""))</f>
        <v/>
      </c>
    </row>
    <row r="77" spans="1:8" x14ac:dyDescent="0.35">
      <c r="A77" t="str">
        <f>Blatt2!C78</f>
        <v/>
      </c>
      <c r="B77" t="str">
        <f>Blatt3!C78</f>
        <v/>
      </c>
      <c r="C77" t="str">
        <f t="shared" si="1"/>
        <v/>
      </c>
      <c r="F77">
        <f>IF(ISERROR(MATCH(Blatt4!A77,Filter!$B:$B,0)),"",ROW())</f>
        <v>77</v>
      </c>
      <c r="G77" t="str">
        <f>IF(F77="","",Blatt4!B77)</f>
        <v>Main Plattform Gain</v>
      </c>
      <c r="H77" t="str">
        <f>IF(G77="","",IF(COUNTIF($G$1:G77,G77)=1,ROW(),""))</f>
        <v/>
      </c>
    </row>
    <row r="78" spans="1:8" x14ac:dyDescent="0.35">
      <c r="A78" t="str">
        <f>Blatt2!C79</f>
        <v/>
      </c>
      <c r="B78" t="str">
        <f>Blatt3!C79</f>
        <v/>
      </c>
      <c r="C78" t="str">
        <f t="shared" si="1"/>
        <v/>
      </c>
      <c r="F78">
        <f>IF(ISERROR(MATCH(Blatt4!A78,Filter!$B:$B,0)),"",ROW())</f>
        <v>78</v>
      </c>
      <c r="G78" t="str">
        <f>IF(F78="","",Blatt4!B78)</f>
        <v>Motion Gain</v>
      </c>
      <c r="H78">
        <f>IF(G78="","",IF(COUNTIF($G$1:G78,G78)=1,ROW(),""))</f>
        <v>78</v>
      </c>
    </row>
    <row r="79" spans="1:8" x14ac:dyDescent="0.35">
      <c r="A79" t="str">
        <f>Blatt2!C80</f>
        <v/>
      </c>
      <c r="B79" t="str">
        <f>Blatt3!C80</f>
        <v/>
      </c>
      <c r="C79" t="str">
        <f t="shared" si="1"/>
        <v/>
      </c>
      <c r="F79">
        <f>IF(ISERROR(MATCH(Blatt4!A79,Filter!$B:$B,0)),"",ROW())</f>
        <v>79</v>
      </c>
      <c r="G79" t="str">
        <f>IF(F79="","",Blatt4!B79)</f>
        <v>Motion Gain</v>
      </c>
      <c r="H79" t="str">
        <f>IF(G79="","",IF(COUNTIF($G$1:G79,G79)=1,ROW(),""))</f>
        <v/>
      </c>
    </row>
    <row r="80" spans="1:8" x14ac:dyDescent="0.35">
      <c r="A80" t="str">
        <f>Blatt2!C81</f>
        <v/>
      </c>
      <c r="B80" t="str">
        <f>Blatt3!C81</f>
        <v/>
      </c>
      <c r="C80" t="str">
        <f t="shared" si="1"/>
        <v/>
      </c>
      <c r="F80">
        <f>IF(ISERROR(MATCH(Blatt4!A80,Filter!$B:$B,0)),"",ROW())</f>
        <v>80</v>
      </c>
      <c r="G80" t="str">
        <f>IF(F80="","",Blatt4!B80)</f>
        <v>Motion Gain</v>
      </c>
      <c r="H80" t="str">
        <f>IF(G80="","",IF(COUNTIF($G$1:G80,G80)=1,ROW(),""))</f>
        <v/>
      </c>
    </row>
    <row r="81" spans="1:8" x14ac:dyDescent="0.35">
      <c r="A81" t="str">
        <f>Blatt2!C82</f>
        <v/>
      </c>
      <c r="B81" t="str">
        <f>Blatt3!C82</f>
        <v/>
      </c>
      <c r="C81" t="str">
        <f t="shared" si="1"/>
        <v/>
      </c>
      <c r="F81">
        <f>IF(ISERROR(MATCH(Blatt4!A81,Filter!$B:$B,0)),"",ROW())</f>
        <v>81</v>
      </c>
      <c r="G81" t="str">
        <f>IF(F81="","",Blatt4!B81)</f>
        <v>Motion Gain</v>
      </c>
      <c r="H81" t="str">
        <f>IF(G81="","",IF(COUNTIF($G$1:G81,G81)=1,ROW(),""))</f>
        <v/>
      </c>
    </row>
    <row r="82" spans="1:8" x14ac:dyDescent="0.35">
      <c r="A82" t="str">
        <f>Blatt2!C83</f>
        <v/>
      </c>
      <c r="B82" t="str">
        <f>Blatt3!C83</f>
        <v/>
      </c>
      <c r="C82" t="str">
        <f t="shared" si="1"/>
        <v/>
      </c>
      <c r="F82">
        <f>IF(ISERROR(MATCH(Blatt4!A82,Filter!$B:$B,0)),"",ROW())</f>
        <v>82</v>
      </c>
      <c r="G82" t="str">
        <f>IF(F82="","",Blatt4!B82)</f>
        <v>Motion Gain</v>
      </c>
      <c r="H82" t="str">
        <f>IF(G82="","",IF(COUNTIF($G$1:G82,G82)=1,ROW(),""))</f>
        <v/>
      </c>
    </row>
    <row r="83" spans="1:8" x14ac:dyDescent="0.35">
      <c r="A83" t="str">
        <f>Blatt2!C84</f>
        <v/>
      </c>
      <c r="B83" t="str">
        <f>Blatt3!C84</f>
        <v/>
      </c>
      <c r="C83" t="str">
        <f t="shared" si="1"/>
        <v/>
      </c>
      <c r="F83" t="str">
        <f>IF(ISERROR(MATCH(Blatt4!A83,Filter!$B:$B,0)),"",ROW())</f>
        <v/>
      </c>
      <c r="G83" t="str">
        <f>IF(F83="","",Blatt4!B83)</f>
        <v/>
      </c>
      <c r="H83" t="str">
        <f>IF(G83="","",IF(COUNTIF($G$1:G83,G83)=1,ROW(),""))</f>
        <v/>
      </c>
    </row>
    <row r="84" spans="1:8" x14ac:dyDescent="0.35">
      <c r="A84" t="str">
        <f>Blatt2!C85</f>
        <v/>
      </c>
      <c r="B84" t="str">
        <f>Blatt3!C85</f>
        <v/>
      </c>
      <c r="C84" t="str">
        <f t="shared" si="1"/>
        <v/>
      </c>
      <c r="F84">
        <f>IF(ISERROR(MATCH(Blatt4!A84,Filter!$B:$B,0)),"",ROW())</f>
        <v>84</v>
      </c>
      <c r="G84" t="str">
        <f>IF(F84="","",Blatt4!B84)</f>
        <v>Motion Gain</v>
      </c>
      <c r="H84" t="str">
        <f>IF(G84="","",IF(COUNTIF($G$1:G84,G84)=1,ROW(),""))</f>
        <v/>
      </c>
    </row>
    <row r="85" spans="1:8" x14ac:dyDescent="0.35">
      <c r="A85" t="str">
        <f>Blatt2!C86</f>
        <v/>
      </c>
      <c r="B85" t="str">
        <f>Blatt3!C86</f>
        <v/>
      </c>
      <c r="C85" t="str">
        <f t="shared" si="1"/>
        <v/>
      </c>
      <c r="F85">
        <f>IF(ISERROR(MATCH(Blatt4!A85,Filter!$B:$B,0)),"",ROW())</f>
        <v>85</v>
      </c>
      <c r="G85" t="str">
        <f>IF(F85="","",Blatt4!B85)</f>
        <v>Motion Range</v>
      </c>
      <c r="H85">
        <f>IF(G85="","",IF(COUNTIF($G$1:G85,G85)=1,ROW(),""))</f>
        <v>85</v>
      </c>
    </row>
    <row r="86" spans="1:8" x14ac:dyDescent="0.35">
      <c r="A86" t="str">
        <f>Blatt2!C87</f>
        <v/>
      </c>
      <c r="B86" t="str">
        <f>Blatt3!C87</f>
        <v/>
      </c>
      <c r="C86" t="str">
        <f t="shared" si="1"/>
        <v/>
      </c>
      <c r="F86">
        <f>IF(ISERROR(MATCH(Blatt4!A86,Filter!$B:$B,0)),"",ROW())</f>
        <v>86</v>
      </c>
      <c r="G86" t="str">
        <f>IF(F86="","",Blatt4!B86)</f>
        <v>Motion Range</v>
      </c>
      <c r="H86" t="str">
        <f>IF(G86="","",IF(COUNTIF($G$1:G86,G86)=1,ROW(),""))</f>
        <v/>
      </c>
    </row>
    <row r="87" spans="1:8" x14ac:dyDescent="0.35">
      <c r="A87" t="str">
        <f>Blatt2!C88</f>
        <v/>
      </c>
      <c r="B87" t="str">
        <f>Blatt3!C88</f>
        <v/>
      </c>
      <c r="C87" t="str">
        <f t="shared" si="1"/>
        <v/>
      </c>
      <c r="F87">
        <f>IF(ISERROR(MATCH(Blatt4!A87,Filter!$B:$B,0)),"",ROW())</f>
        <v>87</v>
      </c>
      <c r="G87" t="str">
        <f>IF(F87="","",Blatt4!B87)</f>
        <v>Motion Range</v>
      </c>
      <c r="H87" t="str">
        <f>IF(G87="","",IF(COUNTIF($G$1:G87,G87)=1,ROW(),""))</f>
        <v/>
      </c>
    </row>
    <row r="88" spans="1:8" x14ac:dyDescent="0.35">
      <c r="A88" t="str">
        <f>Blatt2!C89</f>
        <v/>
      </c>
      <c r="B88" t="str">
        <f>Blatt3!C89</f>
        <v/>
      </c>
      <c r="C88" t="str">
        <f t="shared" si="1"/>
        <v/>
      </c>
      <c r="F88">
        <f>IF(ISERROR(MATCH(Blatt4!A88,Filter!$B:$B,0)),"",ROW())</f>
        <v>88</v>
      </c>
      <c r="G88" t="str">
        <f>IF(F88="","",Blatt4!B88)</f>
        <v>Motion Range</v>
      </c>
      <c r="H88" t="str">
        <f>IF(G88="","",IF(COUNTIF($G$1:G88,G88)=1,ROW(),""))</f>
        <v/>
      </c>
    </row>
    <row r="89" spans="1:8" x14ac:dyDescent="0.35">
      <c r="A89" t="str">
        <f>Blatt2!C90</f>
        <v/>
      </c>
      <c r="B89" t="str">
        <f>Blatt3!C90</f>
        <v/>
      </c>
      <c r="C89" t="str">
        <f t="shared" si="1"/>
        <v/>
      </c>
      <c r="F89">
        <f>IF(ISERROR(MATCH(Blatt4!A89,Filter!$B:$B,0)),"",ROW())</f>
        <v>89</v>
      </c>
      <c r="G89" t="str">
        <f>IF(F89="","",Blatt4!B89)</f>
        <v>Motion Range</v>
      </c>
      <c r="H89" t="str">
        <f>IF(G89="","",IF(COUNTIF($G$1:G89,G89)=1,ROW(),""))</f>
        <v/>
      </c>
    </row>
    <row r="90" spans="1:8" x14ac:dyDescent="0.35">
      <c r="A90" t="str">
        <f>Blatt2!C91</f>
        <v/>
      </c>
      <c r="B90" t="str">
        <f>Blatt3!C91</f>
        <v/>
      </c>
      <c r="C90" t="str">
        <f t="shared" si="1"/>
        <v/>
      </c>
      <c r="F90" t="str">
        <f>IF(ISERROR(MATCH(Blatt4!A90,Filter!$B:$B,0)),"",ROW())</f>
        <v/>
      </c>
      <c r="G90" t="str">
        <f>IF(F90="","",Blatt4!B90)</f>
        <v/>
      </c>
      <c r="H90" t="str">
        <f>IF(G90="","",IF(COUNTIF($G$1:G90,G90)=1,ROW(),""))</f>
        <v/>
      </c>
    </row>
    <row r="91" spans="1:8" x14ac:dyDescent="0.35">
      <c r="A91" t="str">
        <f>Blatt2!C92</f>
        <v/>
      </c>
      <c r="B91" t="str">
        <f>Blatt3!C92</f>
        <v/>
      </c>
      <c r="C91" t="str">
        <f t="shared" si="1"/>
        <v/>
      </c>
      <c r="F91">
        <f>IF(ISERROR(MATCH(Blatt4!A91,Filter!$B:$B,0)),"",ROW())</f>
        <v>91</v>
      </c>
      <c r="G91" t="str">
        <f>IF(F91="","",Blatt4!B91)</f>
        <v>Motion Range</v>
      </c>
      <c r="H91" t="str">
        <f>IF(G91="","",IF(COUNTIF($G$1:G91,G91)=1,ROW(),""))</f>
        <v/>
      </c>
    </row>
    <row r="92" spans="1:8" x14ac:dyDescent="0.35">
      <c r="A92" t="str">
        <f>Blatt2!C93</f>
        <v/>
      </c>
      <c r="B92" t="str">
        <f>Blatt3!C93</f>
        <v/>
      </c>
      <c r="C92" t="str">
        <f t="shared" si="1"/>
        <v/>
      </c>
      <c r="F92">
        <f>IF(ISERROR(MATCH(Blatt4!A92,Filter!$B:$B,0)),"",ROW())</f>
        <v>92</v>
      </c>
      <c r="G92" t="str">
        <f>IF(F92="","",Blatt4!B92)</f>
        <v>Noise Filter</v>
      </c>
      <c r="H92">
        <f>IF(G92="","",IF(COUNTIF($G$1:G92,G92)=1,ROW(),""))</f>
        <v>92</v>
      </c>
    </row>
    <row r="93" spans="1:8" x14ac:dyDescent="0.35">
      <c r="A93" t="str">
        <f>Blatt2!C94</f>
        <v>Effekt zu schwach</v>
      </c>
      <c r="B93" t="str">
        <f>Blatt3!C94</f>
        <v/>
      </c>
      <c r="C93" t="str">
        <f t="shared" si="1"/>
        <v/>
      </c>
      <c r="F93">
        <f>IF(ISERROR(MATCH(Blatt4!A93,Filter!$B:$B,0)),"",ROW())</f>
        <v>93</v>
      </c>
      <c r="G93" t="str">
        <f>IF(F93="","",Blatt4!B93)</f>
        <v>Noise Filter</v>
      </c>
      <c r="H93" t="str">
        <f>IF(G93="","",IF(COUNTIF($G$1:G93,G93)=1,ROW(),""))</f>
        <v/>
      </c>
    </row>
    <row r="94" spans="1:8" x14ac:dyDescent="0.35">
      <c r="A94" t="str">
        <f>Blatt2!C95</f>
        <v>Effekt ist viel zu heftig, zu stark</v>
      </c>
      <c r="B94" t="str">
        <f>Blatt3!C95</f>
        <v/>
      </c>
      <c r="C94" t="str">
        <f t="shared" si="1"/>
        <v/>
      </c>
      <c r="F94">
        <f>IF(ISERROR(MATCH(Blatt4!A94,Filter!$B:$B,0)),"",ROW())</f>
        <v>94</v>
      </c>
      <c r="G94" t="str">
        <f>IF(F94="","",Blatt4!B94)</f>
        <v>Noise Filter</v>
      </c>
      <c r="H94" t="str">
        <f>IF(G94="","",IF(COUNTIF($G$1:G94,G94)=1,ROW(),""))</f>
        <v/>
      </c>
    </row>
    <row r="95" spans="1:8" x14ac:dyDescent="0.35">
      <c r="A95" t="str">
        <f>Blatt2!C96</f>
        <v>Effekt fährt zu langsam</v>
      </c>
      <c r="B95" t="str">
        <f>Blatt3!C96</f>
        <v/>
      </c>
      <c r="C95" t="str">
        <f t="shared" si="1"/>
        <v/>
      </c>
      <c r="F95">
        <f>IF(ISERROR(MATCH(Blatt4!A95,Filter!$B:$B,0)),"",ROW())</f>
        <v>95</v>
      </c>
      <c r="G95" t="str">
        <f>IF(F95="","",Blatt4!B95)</f>
        <v>Noise Filter</v>
      </c>
      <c r="H95" t="str">
        <f>IF(G95="","",IF(COUNTIF($G$1:G95,G95)=1,ROW(),""))</f>
        <v/>
      </c>
    </row>
    <row r="96" spans="1:8" x14ac:dyDescent="0.35">
      <c r="A96" t="str">
        <f>Blatt2!C97</f>
        <v>Effekt fährt  zu schnell</v>
      </c>
      <c r="B96" t="str">
        <f>Blatt3!C97</f>
        <v/>
      </c>
      <c r="C96" t="str">
        <f t="shared" si="1"/>
        <v/>
      </c>
      <c r="F96">
        <f>IF(ISERROR(MATCH(Blatt4!A96,Filter!$B:$B,0)),"",ROW())</f>
        <v>96</v>
      </c>
      <c r="G96" t="str">
        <f>IF(F96="","",Blatt4!B96)</f>
        <v>Noise Filter</v>
      </c>
      <c r="H96" t="str">
        <f>IF(G96="","",IF(COUNTIF($G$1:G96,G96)=1,ROW(),""))</f>
        <v/>
      </c>
    </row>
    <row r="97" spans="1:8" x14ac:dyDescent="0.35">
      <c r="A97" t="str">
        <f>Blatt2!C98</f>
        <v>Effekt viel zu ruppig (auch bei niedrigen Verfahrweg) - zu hart</v>
      </c>
      <c r="B97" t="str">
        <f>Blatt3!C98</f>
        <v/>
      </c>
      <c r="C97" t="str">
        <f t="shared" si="1"/>
        <v/>
      </c>
      <c r="F97">
        <f>IF(ISERROR(MATCH(Blatt4!A97,Filter!$B:$B,0)),"",ROW())</f>
        <v>97</v>
      </c>
      <c r="G97" t="str">
        <f>IF(F97="","",Blatt4!B97)</f>
        <v>Noise Filter</v>
      </c>
      <c r="H97" t="str">
        <f>IF(G97="","",IF(COUNTIF($G$1:G97,G97)=1,ROW(),""))</f>
        <v/>
      </c>
    </row>
    <row r="98" spans="1:8" x14ac:dyDescent="0.35">
      <c r="A98" t="str">
        <f>Blatt2!C99</f>
        <v>Effekt kommt mir vor wie eingeschlafen, viel zu "gedämpft", ausgebremst - zu weich</v>
      </c>
      <c r="B98" t="str">
        <f>Blatt3!C99</f>
        <v/>
      </c>
      <c r="C98" t="str">
        <f t="shared" si="1"/>
        <v/>
      </c>
      <c r="F98" t="str">
        <f>IF(ISERROR(MATCH(Blatt4!A98,Filter!$B:$B,0)),"",ROW())</f>
        <v/>
      </c>
      <c r="G98" t="str">
        <f>IF(F98="","",Blatt4!B98)</f>
        <v/>
      </c>
      <c r="H98" t="str">
        <f>IF(G98="","",IF(COUNTIF($G$1:G98,G98)=1,ROW(),""))</f>
        <v/>
      </c>
    </row>
    <row r="99" spans="1:8" x14ac:dyDescent="0.35">
      <c r="A99" t="str">
        <f>Blatt2!C100</f>
        <v>Es kommen zu wenig Details im Effekt an</v>
      </c>
      <c r="B99" t="str">
        <f>Blatt3!C100</f>
        <v/>
      </c>
      <c r="C99" t="str">
        <f t="shared" si="1"/>
        <v/>
      </c>
      <c r="F99">
        <f>IF(ISERROR(MATCH(Blatt4!A99,Filter!$B:$B,0)),"",ROW())</f>
        <v>99</v>
      </c>
      <c r="G99" t="str">
        <f>IF(F99="","",Blatt4!B99)</f>
        <v>Noise Filter - Target Frequenzies</v>
      </c>
      <c r="H99">
        <f>IF(G99="","",IF(COUNTIF($G$1:G99,G99)=1,ROW(),""))</f>
        <v>99</v>
      </c>
    </row>
    <row r="100" spans="1:8" x14ac:dyDescent="0.35">
      <c r="A100" t="str">
        <f>Blatt2!C101</f>
        <v>Es kommen übertriebene Details im Effekt an</v>
      </c>
      <c r="B100" t="str">
        <f>Blatt3!C101</f>
        <v/>
      </c>
      <c r="C100" t="str">
        <f t="shared" si="1"/>
        <v/>
      </c>
      <c r="F100">
        <f>IF(ISERROR(MATCH(Blatt4!A100,Filter!$B:$B,0)),"",ROW())</f>
        <v>100</v>
      </c>
      <c r="G100" t="str">
        <f>IF(F100="","",Blatt4!B100)</f>
        <v>Noise Filter - Target Frequenzies</v>
      </c>
      <c r="H100" t="str">
        <f>IF(G100="","",IF(COUNTIF($G$1:G100,G100)=1,ROW(),""))</f>
        <v/>
      </c>
    </row>
    <row r="101" spans="1:8" x14ac:dyDescent="0.35">
      <c r="A101" t="str">
        <f>Blatt2!C102</f>
        <v>Details im unteren Bereich sind mir zu schwach</v>
      </c>
      <c r="B101" t="str">
        <f>Blatt3!C102</f>
        <v/>
      </c>
      <c r="C101" t="str">
        <f t="shared" si="1"/>
        <v/>
      </c>
      <c r="F101">
        <f>IF(ISERROR(MATCH(Blatt4!A101,Filter!$B:$B,0)),"",ROW())</f>
        <v>101</v>
      </c>
      <c r="G101" t="str">
        <f>IF(F101="","",Blatt4!B101)</f>
        <v>Noise Filter - Target Frequenzies</v>
      </c>
      <c r="H101" t="str">
        <f>IF(G101="","",IF(COUNTIF($G$1:G101,G101)=1,ROW(),""))</f>
        <v/>
      </c>
    </row>
    <row r="102" spans="1:8" x14ac:dyDescent="0.35">
      <c r="A102" t="str">
        <f>Blatt2!C103</f>
        <v>Details im unteren Bereich sind mir zu stark / übertrieben</v>
      </c>
      <c r="B102" t="str">
        <f>Blatt3!C103</f>
        <v/>
      </c>
      <c r="C102" t="str">
        <f t="shared" si="1"/>
        <v/>
      </c>
      <c r="F102">
        <f>IF(ISERROR(MATCH(Blatt4!A102,Filter!$B:$B,0)),"",ROW())</f>
        <v>102</v>
      </c>
      <c r="G102" t="str">
        <f>IF(F102="","",Blatt4!B102)</f>
        <v>Noise Filter - Target Frequenzies</v>
      </c>
      <c r="H102" t="str">
        <f>IF(G102="","",IF(COUNTIF($G$1:G102,G102)=1,ROW(),""))</f>
        <v/>
      </c>
    </row>
    <row r="103" spans="1:8" x14ac:dyDescent="0.35">
      <c r="A103" t="str">
        <f>Blatt2!C104</f>
        <v>Effekt bewegt sich in Situationen, wo ich das garnicht möchte (Unterer oder oberer Bereich)</v>
      </c>
      <c r="B103" t="str">
        <f>Blatt3!C104</f>
        <v/>
      </c>
      <c r="C103" t="str">
        <f t="shared" si="1"/>
        <v/>
      </c>
      <c r="F103">
        <f>IF(ISERROR(MATCH(Blatt4!A103,Filter!$B:$B,0)),"",ROW())</f>
        <v>103</v>
      </c>
      <c r="G103" t="str">
        <f>IF(F103="","",Blatt4!B103)</f>
        <v>Noise Filter - Target Frequenzies</v>
      </c>
      <c r="H103" t="str">
        <f>IF(G103="","",IF(COUNTIF($G$1:G103,G103)=1,ROW(),""))</f>
        <v/>
      </c>
    </row>
    <row r="104" spans="1:8" x14ac:dyDescent="0.35">
      <c r="A104" t="str">
        <f>Blatt2!C105</f>
        <v>Effekt wackelt im unteren Bereich ständig (Effekt Zittern, typisch bei Surge oder Roll)</v>
      </c>
      <c r="B104" t="str">
        <f>Blatt3!C105</f>
        <v/>
      </c>
      <c r="C104" t="str">
        <f t="shared" si="1"/>
        <v/>
      </c>
      <c r="F104">
        <f>IF(ISERROR(MATCH(Blatt4!A104,Filter!$B:$B,0)),"",ROW())</f>
        <v>104</v>
      </c>
      <c r="G104" t="str">
        <f>IF(F104="","",Blatt4!B104)</f>
        <v>Noise Filter - Target Frequenzies</v>
      </c>
      <c r="H104" t="str">
        <f>IF(G104="","",IF(COUNTIF($G$1:G104,G104)=1,ROW(),""))</f>
        <v/>
      </c>
    </row>
    <row r="105" spans="1:8" x14ac:dyDescent="0.35">
      <c r="A105" t="str">
        <f>Blatt2!C106</f>
        <v>Der Verfahrweg des Effekts ist mir zu wenig</v>
      </c>
      <c r="B105" t="str">
        <f>Blatt3!C106</f>
        <v/>
      </c>
      <c r="C105" t="str">
        <f t="shared" si="1"/>
        <v/>
      </c>
      <c r="F105" t="str">
        <f>IF(ISERROR(MATCH(Blatt4!A105,Filter!$B:$B,0)),"",ROW())</f>
        <v/>
      </c>
      <c r="G105" t="str">
        <f>IF(F105="","",Blatt4!B105)</f>
        <v/>
      </c>
      <c r="H105" t="str">
        <f>IF(G105="","",IF(COUNTIF($G$1:G105,G105)=1,ROW(),""))</f>
        <v/>
      </c>
    </row>
    <row r="106" spans="1:8" x14ac:dyDescent="0.35">
      <c r="A106" t="str">
        <f>Blatt2!C107</f>
        <v>Der Verfahrweg des Effekts ist mir zu viel</v>
      </c>
      <c r="B106" t="str">
        <f>Blatt3!C107</f>
        <v/>
      </c>
      <c r="C106" t="str">
        <f t="shared" si="1"/>
        <v/>
      </c>
      <c r="F106">
        <f>IF(ISERROR(MATCH(Blatt4!A106,Filter!$B:$B,0)),"",ROW())</f>
        <v>106</v>
      </c>
      <c r="G106" t="str">
        <f>IF(F106="","",Blatt4!B106)</f>
        <v>Record (Telemetrie)</v>
      </c>
      <c r="H106">
        <f>IF(G106="","",IF(COUNTIF($G$1:G106,G106)=1,ROW(),""))</f>
        <v>106</v>
      </c>
    </row>
    <row r="107" spans="1:8" x14ac:dyDescent="0.35">
      <c r="A107" t="str">
        <f>Blatt2!C108</f>
        <v>Ich kenne den Wert des Effektes nicht, was dort an Telemetrie ankommt aus dem Spiel (Input)</v>
      </c>
      <c r="B107" t="str">
        <f>Blatt3!C108</f>
        <v/>
      </c>
      <c r="C107" t="str">
        <f t="shared" si="1"/>
        <v/>
      </c>
      <c r="F107">
        <f>IF(ISERROR(MATCH(Blatt4!A107,Filter!$B:$B,0)),"",ROW())</f>
        <v>107</v>
      </c>
      <c r="G107" t="str">
        <f>IF(F107="","",Blatt4!B107)</f>
        <v>Response Curve - Dead zone (Percent)</v>
      </c>
      <c r="H107">
        <f>IF(G107="","",IF(COUNTIF($G$1:G107,G107)=1,ROW(),""))</f>
        <v>107</v>
      </c>
    </row>
    <row r="108" spans="1:8" x14ac:dyDescent="0.35">
      <c r="A108" t="str">
        <f>Blatt2!C109</f>
        <v>Effekt ist zu lahm, beschleunigt zu langsam</v>
      </c>
      <c r="B108" t="str">
        <f>Blatt3!C109</f>
        <v/>
      </c>
      <c r="C108" t="str">
        <f t="shared" si="1"/>
        <v/>
      </c>
      <c r="F108">
        <f>IF(ISERROR(MATCH(Blatt4!A108,Filter!$B:$B,0)),"",ROW())</f>
        <v>108</v>
      </c>
      <c r="G108" t="str">
        <f>IF(F108="","",Blatt4!B108)</f>
        <v>Response Curve - Dead zone (Percent)</v>
      </c>
      <c r="H108" t="str">
        <f>IF(G108="","",IF(COUNTIF($G$1:G108,G108)=1,ROW(),""))</f>
        <v/>
      </c>
    </row>
    <row r="109" spans="1:8" x14ac:dyDescent="0.35">
      <c r="A109" t="str">
        <f>Blatt2!C110</f>
        <v>Effekt ist völlig übertrieben und hart, beschleunigt zu schnell</v>
      </c>
      <c r="B109" t="str">
        <f>Blatt3!C110</f>
        <v/>
      </c>
      <c r="C109" t="str">
        <f t="shared" si="1"/>
        <v/>
      </c>
      <c r="F109">
        <f>IF(ISERROR(MATCH(Blatt4!A109,Filter!$B:$B,0)),"",ROW())</f>
        <v>109</v>
      </c>
      <c r="G109" t="str">
        <f>IF(F109="","",Blatt4!B109)</f>
        <v>Response Curve - Dead zone (Percent)</v>
      </c>
      <c r="H109" t="str">
        <f>IF(G109="","",IF(COUNTIF($G$1:G109,G109)=1,ROW(),""))</f>
        <v/>
      </c>
    </row>
    <row r="110" spans="1:8" x14ac:dyDescent="0.35">
      <c r="A110" t="str">
        <f>Blatt2!C111</f>
        <v>Ich habe Störsignale im Effekt, die da nicht hin gehören</v>
      </c>
      <c r="B110" t="str">
        <f>Blatt3!C111</f>
        <v/>
      </c>
      <c r="C110" t="str">
        <f t="shared" si="1"/>
        <v/>
      </c>
      <c r="F110">
        <f>IF(ISERROR(MATCH(Blatt4!A110,Filter!$B:$B,0)),"",ROW())</f>
        <v>110</v>
      </c>
      <c r="G110" t="str">
        <f>IF(F110="","",Blatt4!B110)</f>
        <v>Response Curve - Dead zone (Percent)</v>
      </c>
      <c r="H110" t="str">
        <f>IF(G110="","",IF(COUNTIF($G$1:G110,G110)=1,ROW(),""))</f>
        <v/>
      </c>
    </row>
    <row r="111" spans="1:8" x14ac:dyDescent="0.35">
      <c r="A111" t="str">
        <f>Blatt2!C112</f>
        <v>Effekt hat Clipping - Overflow - Überlagerung - wird abgeschnitten</v>
      </c>
      <c r="B111" t="str">
        <f>Blatt3!C112</f>
        <v/>
      </c>
      <c r="C111" t="str">
        <f t="shared" si="1"/>
        <v/>
      </c>
      <c r="F111">
        <f>IF(ISERROR(MATCH(Blatt4!A111,Filter!$B:$B,0)),"",ROW())</f>
        <v>111</v>
      </c>
      <c r="G111" t="str">
        <f>IF(F111="","",Blatt4!B111)</f>
        <v>Response Curve - Dead zone (Percent)</v>
      </c>
      <c r="H111" t="str">
        <f>IF(G111="","",IF(COUNTIF($G$1:G111,G111)=1,ROW(),""))</f>
        <v/>
      </c>
    </row>
    <row r="112" spans="1:8" x14ac:dyDescent="0.35">
      <c r="A112" t="str">
        <f>Blatt2!C113</f>
        <v>Verfahr Richtung des Effektes läuft falsch rum</v>
      </c>
      <c r="B112" t="str">
        <f>Blatt3!C113</f>
        <v/>
      </c>
      <c r="C112" t="str">
        <f t="shared" si="1"/>
        <v/>
      </c>
      <c r="F112" t="str">
        <f>IF(ISERROR(MATCH(Blatt4!A112,Filter!$B:$B,0)),"",ROW())</f>
        <v/>
      </c>
      <c r="G112" t="str">
        <f>IF(F112="","",Blatt4!B112)</f>
        <v/>
      </c>
      <c r="H112" t="str">
        <f>IF(G112="","",IF(COUNTIF($G$1:G112,G112)=1,ROW(),""))</f>
        <v/>
      </c>
    </row>
    <row r="113" spans="1:8" x14ac:dyDescent="0.35">
      <c r="A113" t="str">
        <f>Blatt2!C114</f>
        <v>Effekt Funktioniert garnicht</v>
      </c>
      <c r="B113" t="str">
        <f>Blatt3!C114</f>
        <v/>
      </c>
      <c r="C113" t="str">
        <f t="shared" si="1"/>
        <v/>
      </c>
      <c r="F113">
        <f>IF(ISERROR(MATCH(Blatt4!A113,Filter!$B:$B,0)),"",ROW())</f>
        <v>113</v>
      </c>
      <c r="G113" t="str">
        <f>IF(F113="","",Blatt4!B113)</f>
        <v>Response Curve - Dead zone (Percent)</v>
      </c>
      <c r="H113" t="str">
        <f>IF(G113="","",IF(COUNTIF($G$1:G113,G113)=1,ROW(),""))</f>
        <v/>
      </c>
    </row>
    <row r="114" spans="1:8" x14ac:dyDescent="0.35">
      <c r="A114" t="str">
        <f>Blatt2!C115</f>
        <v>Ich hätte gerne eine Totzone</v>
      </c>
      <c r="B114" t="str">
        <f>Blatt3!C115</f>
        <v/>
      </c>
      <c r="C114" t="str">
        <f t="shared" si="1"/>
        <v/>
      </c>
      <c r="F114">
        <f>IF(ISERROR(MATCH(Blatt4!A114,Filter!$B:$B,0)),"",ROW())</f>
        <v>114</v>
      </c>
      <c r="G114" t="str">
        <f>IF(F114="","",Blatt4!B114)</f>
        <v>Response Curve - Dead zone (Percent)</v>
      </c>
      <c r="H114" t="str">
        <f>IF(G114="","",IF(COUNTIF($G$1:G114,G114)=1,ROW(),""))</f>
        <v/>
      </c>
    </row>
    <row r="115" spans="1:8" x14ac:dyDescent="0.35">
      <c r="A115" t="str">
        <f>Blatt2!C116</f>
        <v/>
      </c>
      <c r="B115" t="str">
        <f>Blatt3!C116</f>
        <v/>
      </c>
      <c r="C115" t="str">
        <f t="shared" si="1"/>
        <v/>
      </c>
      <c r="F115">
        <f>IF(ISERROR(MATCH(Blatt4!A115,Filter!$B:$B,0)),"",ROW())</f>
        <v>115</v>
      </c>
      <c r="G115" t="str">
        <f>IF(F115="","",Blatt4!B115)</f>
        <v>Response Curve - Dead zone (Percent)</v>
      </c>
      <c r="H115" t="str">
        <f>IF(G115="","",IF(COUNTIF($G$1:G115,G115)=1,ROW(),""))</f>
        <v/>
      </c>
    </row>
    <row r="116" spans="1:8" x14ac:dyDescent="0.35">
      <c r="A116" t="str">
        <f>Blatt2!C117</f>
        <v/>
      </c>
      <c r="B116" t="str">
        <f>Blatt3!C117</f>
        <v/>
      </c>
      <c r="C116" t="str">
        <f t="shared" si="1"/>
        <v/>
      </c>
      <c r="F116">
        <f>IF(ISERROR(MATCH(Blatt4!A116,Filter!$B:$B,0)),"",ROW())</f>
        <v>116</v>
      </c>
      <c r="G116" t="str">
        <f>IF(F116="","",Blatt4!B116)</f>
        <v>Response Curve - Dead Zone exit kick (Percent)</v>
      </c>
      <c r="H116">
        <f>IF(G116="","",IF(COUNTIF($G$1:G116,G116)=1,ROW(),""))</f>
        <v>116</v>
      </c>
    </row>
    <row r="117" spans="1:8" x14ac:dyDescent="0.35">
      <c r="A117" t="str">
        <f>Blatt2!C118</f>
        <v/>
      </c>
      <c r="B117" t="str">
        <f>Blatt3!C118</f>
        <v/>
      </c>
      <c r="C117" t="str">
        <f t="shared" si="1"/>
        <v/>
      </c>
      <c r="F117">
        <f>IF(ISERROR(MATCH(Blatt4!A117,Filter!$B:$B,0)),"",ROW())</f>
        <v>117</v>
      </c>
      <c r="G117" t="str">
        <f>IF(F117="","",Blatt4!B117)</f>
        <v>Response Curve - Dead Zone exit kick (Percent)</v>
      </c>
      <c r="H117" t="str">
        <f>IF(G117="","",IF(COUNTIF($G$1:G117,G117)=1,ROW(),""))</f>
        <v/>
      </c>
    </row>
    <row r="118" spans="1:8" x14ac:dyDescent="0.35">
      <c r="A118" t="str">
        <f>Blatt2!C119</f>
        <v/>
      </c>
      <c r="B118" t="str">
        <f>Blatt3!C119</f>
        <v/>
      </c>
      <c r="C118" t="str">
        <f t="shared" si="1"/>
        <v/>
      </c>
      <c r="F118">
        <f>IF(ISERROR(MATCH(Blatt4!A118,Filter!$B:$B,0)),"",ROW())</f>
        <v>118</v>
      </c>
      <c r="G118" t="str">
        <f>IF(F118="","",Blatt4!B118)</f>
        <v>Response Curve - Dead Zone exit kick (Percent)</v>
      </c>
      <c r="H118" t="str">
        <f>IF(G118="","",IF(COUNTIF($G$1:G118,G118)=1,ROW(),""))</f>
        <v/>
      </c>
    </row>
    <row r="119" spans="1:8" x14ac:dyDescent="0.35">
      <c r="A119" t="str">
        <f>Blatt2!C120</f>
        <v/>
      </c>
      <c r="B119" t="str">
        <f>Blatt3!C120</f>
        <v/>
      </c>
      <c r="C119" t="str">
        <f t="shared" si="1"/>
        <v/>
      </c>
      <c r="F119">
        <f>IF(ISERROR(MATCH(Blatt4!A119,Filter!$B:$B,0)),"",ROW())</f>
        <v>119</v>
      </c>
      <c r="G119" t="str">
        <f>IF(F119="","",Blatt4!B119)</f>
        <v>Response Curve - Dead Zone exit kick (Percent)</v>
      </c>
      <c r="H119" t="str">
        <f>IF(G119="","",IF(COUNTIF($G$1:G119,G119)=1,ROW(),""))</f>
        <v/>
      </c>
    </row>
    <row r="120" spans="1:8" x14ac:dyDescent="0.35">
      <c r="A120" t="str">
        <f>Blatt2!C121</f>
        <v/>
      </c>
      <c r="B120" t="str">
        <f>Blatt3!C121</f>
        <v/>
      </c>
      <c r="C120" t="str">
        <f t="shared" si="1"/>
        <v/>
      </c>
      <c r="F120">
        <f>IF(ISERROR(MATCH(Blatt4!A120,Filter!$B:$B,0)),"",ROW())</f>
        <v>120</v>
      </c>
      <c r="G120" t="str">
        <f>IF(F120="","",Blatt4!B120)</f>
        <v>Response Curve - Dead Zone exit kick (Percent)</v>
      </c>
      <c r="H120" t="str">
        <f>IF(G120="","",IF(COUNTIF($G$1:G120,G120)=1,ROW(),""))</f>
        <v/>
      </c>
    </row>
    <row r="121" spans="1:8" x14ac:dyDescent="0.35">
      <c r="A121" t="str">
        <f>Blatt2!C122</f>
        <v/>
      </c>
      <c r="B121" t="str">
        <f>Blatt3!C122</f>
        <v/>
      </c>
      <c r="C121" t="str">
        <f t="shared" si="1"/>
        <v/>
      </c>
      <c r="F121">
        <f>IF(ISERROR(MATCH(Blatt4!A121,Filter!$B:$B,0)),"",ROW())</f>
        <v>121</v>
      </c>
      <c r="G121" t="str">
        <f>IF(F121="","",Blatt4!B121)</f>
        <v>Response Curve - Dead Zone exit kick (Percent)</v>
      </c>
      <c r="H121" t="str">
        <f>IF(G121="","",IF(COUNTIF($G$1:G121,G121)=1,ROW(),""))</f>
        <v/>
      </c>
    </row>
    <row r="122" spans="1:8" x14ac:dyDescent="0.35">
      <c r="A122" t="str">
        <f>Blatt2!C123</f>
        <v/>
      </c>
      <c r="B122" t="str">
        <f>Blatt3!C123</f>
        <v/>
      </c>
      <c r="C122" t="str">
        <f t="shared" si="1"/>
        <v/>
      </c>
      <c r="F122" t="str">
        <f>IF(ISERROR(MATCH(Blatt4!A122,Filter!$B:$B,0)),"",ROW())</f>
        <v/>
      </c>
      <c r="G122" t="str">
        <f>IF(F122="","",Blatt4!B122)</f>
        <v/>
      </c>
      <c r="H122" t="str">
        <f>IF(G122="","",IF(COUNTIF($G$1:G122,G122)=1,ROW(),""))</f>
        <v/>
      </c>
    </row>
    <row r="123" spans="1:8" x14ac:dyDescent="0.35">
      <c r="A123" t="str">
        <f>Blatt2!C124</f>
        <v/>
      </c>
      <c r="B123" t="str">
        <f>Blatt3!C124</f>
        <v/>
      </c>
      <c r="C123" t="str">
        <f t="shared" si="1"/>
        <v/>
      </c>
      <c r="F123">
        <f>IF(ISERROR(MATCH(Blatt4!A123,Filter!$B:$B,0)),"",ROW())</f>
        <v>123</v>
      </c>
      <c r="G123" t="str">
        <f>IF(F123="","",Blatt4!B123)</f>
        <v>Response Curve - Dead Zone exit kick (Percent)</v>
      </c>
      <c r="H123" t="str">
        <f>IF(G123="","",IF(COUNTIF($G$1:G123,G123)=1,ROW(),""))</f>
        <v/>
      </c>
    </row>
    <row r="124" spans="1:8" x14ac:dyDescent="0.35">
      <c r="A124" t="str">
        <f>Blatt2!C125</f>
        <v/>
      </c>
      <c r="B124" t="str">
        <f>Blatt3!C125</f>
        <v/>
      </c>
      <c r="C124" t="str">
        <f t="shared" si="1"/>
        <v/>
      </c>
      <c r="F124">
        <f>IF(ISERROR(MATCH(Blatt4!A124,Filter!$B:$B,0)),"",ROW())</f>
        <v>124</v>
      </c>
      <c r="G124" t="str">
        <f>IF(F124="","",Blatt4!B124)</f>
        <v>Response Curve - Dead Zone exit kick (Percent)</v>
      </c>
      <c r="H124" t="str">
        <f>IF(G124="","",IF(COUNTIF($G$1:G124,G124)=1,ROW(),""))</f>
        <v/>
      </c>
    </row>
    <row r="125" spans="1:8" x14ac:dyDescent="0.35">
      <c r="A125" t="str">
        <f>Blatt2!C126</f>
        <v/>
      </c>
      <c r="B125" t="str">
        <f>Blatt3!C126</f>
        <v/>
      </c>
      <c r="C125" t="str">
        <f t="shared" si="1"/>
        <v/>
      </c>
      <c r="F125">
        <f>IF(ISERROR(MATCH(Blatt4!A125,Filter!$B:$B,0)),"",ROW())</f>
        <v>125</v>
      </c>
      <c r="G125" t="str">
        <f>IF(F125="","",Blatt4!B125)</f>
        <v>Response Curve - Dead Zone exit kick (Percent)</v>
      </c>
      <c r="H125" t="str">
        <f>IF(G125="","",IF(COUNTIF($G$1:G125,G125)=1,ROW(),""))</f>
        <v/>
      </c>
    </row>
    <row r="126" spans="1:8" x14ac:dyDescent="0.35">
      <c r="A126" t="str">
        <f>Blatt2!C127</f>
        <v/>
      </c>
      <c r="B126" t="str">
        <f>Blatt3!C127</f>
        <v/>
      </c>
      <c r="C126" t="str">
        <f t="shared" si="1"/>
        <v/>
      </c>
      <c r="F126">
        <f>IF(ISERROR(MATCH(Blatt4!A126,Filter!$B:$B,0)),"",ROW())</f>
        <v>126</v>
      </c>
      <c r="G126" t="str">
        <f>IF(F126="","",Blatt4!B126)</f>
        <v>Response Curve - Dead Zone exit smoothing (Percent)</v>
      </c>
      <c r="H126">
        <f>IF(G126="","",IF(COUNTIF($G$1:G126,G126)=1,ROW(),""))</f>
        <v>126</v>
      </c>
    </row>
    <row r="127" spans="1:8" x14ac:dyDescent="0.35">
      <c r="A127" t="str">
        <f>Blatt2!C128</f>
        <v/>
      </c>
      <c r="B127" t="str">
        <f>Blatt3!C128</f>
        <v/>
      </c>
      <c r="C127" t="str">
        <f t="shared" si="1"/>
        <v/>
      </c>
      <c r="F127">
        <f>IF(ISERROR(MATCH(Blatt4!A127,Filter!$B:$B,0)),"",ROW())</f>
        <v>127</v>
      </c>
      <c r="G127" t="str">
        <f>IF(F127="","",Blatt4!B127)</f>
        <v>Response Curve - Dead Zone exit smoothing (Percent)</v>
      </c>
      <c r="H127" t="str">
        <f>IF(G127="","",IF(COUNTIF($G$1:G127,G127)=1,ROW(),""))</f>
        <v/>
      </c>
    </row>
    <row r="128" spans="1:8" x14ac:dyDescent="0.35">
      <c r="A128" t="str">
        <f>Blatt2!C129</f>
        <v/>
      </c>
      <c r="B128" t="str">
        <f>Blatt3!C129</f>
        <v/>
      </c>
      <c r="C128" t="str">
        <f t="shared" si="1"/>
        <v/>
      </c>
      <c r="F128">
        <f>IF(ISERROR(MATCH(Blatt4!A128,Filter!$B:$B,0)),"",ROW())</f>
        <v>128</v>
      </c>
      <c r="G128" t="str">
        <f>IF(F128="","",Blatt4!B128)</f>
        <v>Response Curve - Dead Zone exit smoothing (Percent)</v>
      </c>
      <c r="H128" t="str">
        <f>IF(G128="","",IF(COUNTIF($G$1:G128,G128)=1,ROW(),""))</f>
        <v/>
      </c>
    </row>
    <row r="129" spans="1:8" x14ac:dyDescent="0.35">
      <c r="A129" t="str">
        <f>Blatt2!C130</f>
        <v/>
      </c>
      <c r="B129" t="str">
        <f>Blatt3!C130</f>
        <v/>
      </c>
      <c r="C129" t="str">
        <f t="shared" si="1"/>
        <v/>
      </c>
      <c r="F129">
        <f>IF(ISERROR(MATCH(Blatt4!A129,Filter!$B:$B,0)),"",ROW())</f>
        <v>129</v>
      </c>
      <c r="G129" t="str">
        <f>IF(F129="","",Blatt4!B129)</f>
        <v>Response Curve - Dead Zone exit smoothing (Percent)</v>
      </c>
      <c r="H129" t="str">
        <f>IF(G129="","",IF(COUNTIF($G$1:G129,G129)=1,ROW(),""))</f>
        <v/>
      </c>
    </row>
    <row r="130" spans="1:8" x14ac:dyDescent="0.35">
      <c r="A130" t="str">
        <f>Blatt2!C131</f>
        <v/>
      </c>
      <c r="B130" t="str">
        <f>Blatt3!C131</f>
        <v/>
      </c>
      <c r="C130" t="str">
        <f t="shared" ref="C130:C193" si="2">IF(B130="","",ROW())</f>
        <v/>
      </c>
      <c r="F130">
        <f>IF(ISERROR(MATCH(Blatt4!A130,Filter!$B:$B,0)),"",ROW())</f>
        <v>130</v>
      </c>
      <c r="G130" t="str">
        <f>IF(F130="","",Blatt4!B130)</f>
        <v>Response Curve - Dead Zone exit smoothing (Percent)</v>
      </c>
      <c r="H130" t="str">
        <f>IF(G130="","",IF(COUNTIF($G$1:G130,G130)=1,ROW(),""))</f>
        <v/>
      </c>
    </row>
    <row r="131" spans="1:8" x14ac:dyDescent="0.35">
      <c r="A131" t="str">
        <f>Blatt2!C132</f>
        <v/>
      </c>
      <c r="B131" t="str">
        <f>Blatt3!C132</f>
        <v/>
      </c>
      <c r="C131" t="str">
        <f t="shared" si="2"/>
        <v/>
      </c>
      <c r="F131" t="str">
        <f>IF(ISERROR(MATCH(Blatt4!A131,Filter!$B:$B,0)),"",ROW())</f>
        <v/>
      </c>
      <c r="G131" t="str">
        <f>IF(F131="","",Blatt4!B131)</f>
        <v/>
      </c>
      <c r="H131" t="str">
        <f>IF(G131="","",IF(COUNTIF($G$1:G131,G131)=1,ROW(),""))</f>
        <v/>
      </c>
    </row>
    <row r="132" spans="1:8" x14ac:dyDescent="0.35">
      <c r="A132" t="str">
        <f>Blatt2!C133</f>
        <v/>
      </c>
      <c r="B132" t="str">
        <f>Blatt3!C133</f>
        <v/>
      </c>
      <c r="C132" t="str">
        <f t="shared" si="2"/>
        <v/>
      </c>
      <c r="F132">
        <f>IF(ISERROR(MATCH(Blatt4!A132,Filter!$B:$B,0)),"",ROW())</f>
        <v>132</v>
      </c>
      <c r="G132" t="str">
        <f>IF(F132="","",Blatt4!B132)</f>
        <v>Response Curve - Dead Zone exit smoothing (Percent)</v>
      </c>
      <c r="H132" t="str">
        <f>IF(G132="","",IF(COUNTIF($G$1:G132,G132)=1,ROW(),""))</f>
        <v/>
      </c>
    </row>
    <row r="133" spans="1:8" x14ac:dyDescent="0.35">
      <c r="A133" t="str">
        <f>Blatt2!C134</f>
        <v/>
      </c>
      <c r="B133" t="str">
        <f>Blatt3!C134</f>
        <v/>
      </c>
      <c r="C133" t="str">
        <f t="shared" si="2"/>
        <v/>
      </c>
      <c r="F133">
        <f>IF(ISERROR(MATCH(Blatt4!A133,Filter!$B:$B,0)),"",ROW())</f>
        <v>133</v>
      </c>
      <c r="G133" t="str">
        <f>IF(F133="","",Blatt4!B133)</f>
        <v>Response Curve - Dead Zone exit smoothing (Percent)</v>
      </c>
      <c r="H133" t="str">
        <f>IF(G133="","",IF(COUNTIF($G$1:G133,G133)=1,ROW(),""))</f>
        <v/>
      </c>
    </row>
    <row r="134" spans="1:8" x14ac:dyDescent="0.35">
      <c r="A134" t="str">
        <f>Blatt2!C135</f>
        <v/>
      </c>
      <c r="B134" t="str">
        <f>Blatt3!C135</f>
        <v/>
      </c>
      <c r="C134" t="str">
        <f t="shared" si="2"/>
        <v/>
      </c>
      <c r="F134">
        <f>IF(ISERROR(MATCH(Blatt4!A134,Filter!$B:$B,0)),"",ROW())</f>
        <v>134</v>
      </c>
      <c r="G134" t="str">
        <f>IF(F134="","",Blatt4!B134)</f>
        <v>Response Curve - Dead Zone exit smoothing (Percent)</v>
      </c>
      <c r="H134" t="str">
        <f>IF(G134="","",IF(COUNTIF($G$1:G134,G134)=1,ROW(),""))</f>
        <v/>
      </c>
    </row>
    <row r="135" spans="1:8" x14ac:dyDescent="0.35">
      <c r="A135" t="str">
        <f>Blatt2!C136</f>
        <v/>
      </c>
      <c r="B135" t="str">
        <f>Blatt3!C136</f>
        <v/>
      </c>
      <c r="C135" t="str">
        <f t="shared" si="2"/>
        <v/>
      </c>
      <c r="F135">
        <f>IF(ISERROR(MATCH(Blatt4!A135,Filter!$B:$B,0)),"",ROW())</f>
        <v>135</v>
      </c>
      <c r="G135" t="str">
        <f>IF(F135="","",Blatt4!B135)</f>
        <v>Response Curve - Flip output sign</v>
      </c>
      <c r="H135">
        <f>IF(G135="","",IF(COUNTIF($G$1:G135,G135)=1,ROW(),""))</f>
        <v>135</v>
      </c>
    </row>
    <row r="136" spans="1:8" x14ac:dyDescent="0.35">
      <c r="A136" t="str">
        <f>Blatt2!C137</f>
        <v/>
      </c>
      <c r="B136" t="str">
        <f>Blatt3!C137</f>
        <v/>
      </c>
      <c r="C136" t="str">
        <f t="shared" si="2"/>
        <v/>
      </c>
      <c r="F136" t="str">
        <f>IF(ISERROR(MATCH(Blatt4!A136,Filter!$B:$B,0)),"",ROW())</f>
        <v/>
      </c>
      <c r="G136" t="str">
        <f>IF(F136="","",Blatt4!B136)</f>
        <v/>
      </c>
      <c r="H136" t="str">
        <f>IF(G136="","",IF(COUNTIF($G$1:G136,G136)=1,ROW(),""))</f>
        <v/>
      </c>
    </row>
    <row r="137" spans="1:8" x14ac:dyDescent="0.35">
      <c r="A137" t="str">
        <f>Blatt2!C138</f>
        <v/>
      </c>
      <c r="B137" t="str">
        <f>Blatt3!C138</f>
        <v/>
      </c>
      <c r="C137" t="str">
        <f t="shared" si="2"/>
        <v/>
      </c>
      <c r="F137">
        <f>IF(ISERROR(MATCH(Blatt4!A137,Filter!$B:$B,0)),"",ROW())</f>
        <v>137</v>
      </c>
      <c r="G137" t="str">
        <f>IF(F137="","",Blatt4!B137)</f>
        <v>Response Curve - Gamma Factor</v>
      </c>
      <c r="H137">
        <f>IF(G137="","",IF(COUNTIF($G$1:G137,G137)=1,ROW(),""))</f>
        <v>137</v>
      </c>
    </row>
    <row r="138" spans="1:8" x14ac:dyDescent="0.35">
      <c r="A138" t="str">
        <f>Blatt2!C139</f>
        <v/>
      </c>
      <c r="B138" t="str">
        <f>Blatt3!C139</f>
        <v/>
      </c>
      <c r="C138" t="str">
        <f t="shared" si="2"/>
        <v/>
      </c>
      <c r="F138">
        <f>IF(ISERROR(MATCH(Blatt4!A138,Filter!$B:$B,0)),"",ROW())</f>
        <v>138</v>
      </c>
      <c r="G138" t="str">
        <f>IF(F138="","",Blatt4!B138)</f>
        <v>Response Curve - Gamma Factor</v>
      </c>
      <c r="H138" t="str">
        <f>IF(G138="","",IF(COUNTIF($G$1:G138,G138)=1,ROW(),""))</f>
        <v/>
      </c>
    </row>
    <row r="139" spans="1:8" x14ac:dyDescent="0.35">
      <c r="A139" t="str">
        <f>Blatt2!C140</f>
        <v/>
      </c>
      <c r="B139" t="str">
        <f>Blatt3!C140</f>
        <v/>
      </c>
      <c r="C139" t="str">
        <f t="shared" si="2"/>
        <v/>
      </c>
      <c r="F139">
        <f>IF(ISERROR(MATCH(Blatt4!A139,Filter!$B:$B,0)),"",ROW())</f>
        <v>139</v>
      </c>
      <c r="G139" t="str">
        <f>IF(F139="","",Blatt4!B139)</f>
        <v>Response Curve - Gamma Factor</v>
      </c>
      <c r="H139" t="str">
        <f>IF(G139="","",IF(COUNTIF($G$1:G139,G139)=1,ROW(),""))</f>
        <v/>
      </c>
    </row>
    <row r="140" spans="1:8" x14ac:dyDescent="0.35">
      <c r="A140" t="str">
        <f>Blatt2!C141</f>
        <v/>
      </c>
      <c r="B140" t="str">
        <f>Blatt3!C141</f>
        <v/>
      </c>
      <c r="C140" t="str">
        <f t="shared" si="2"/>
        <v/>
      </c>
      <c r="F140">
        <f>IF(ISERROR(MATCH(Blatt4!A140,Filter!$B:$B,0)),"",ROW())</f>
        <v>140</v>
      </c>
      <c r="G140" t="str">
        <f>IF(F140="","",Blatt4!B140)</f>
        <v>Response Curve - Gamma Factor</v>
      </c>
      <c r="H140" t="str">
        <f>IF(G140="","",IF(COUNTIF($G$1:G140,G140)=1,ROW(),""))</f>
        <v/>
      </c>
    </row>
    <row r="141" spans="1:8" x14ac:dyDescent="0.35">
      <c r="A141" t="str">
        <f>Blatt2!C142</f>
        <v/>
      </c>
      <c r="B141" t="str">
        <f>Blatt3!C142</f>
        <v/>
      </c>
      <c r="C141" t="str">
        <f t="shared" si="2"/>
        <v/>
      </c>
      <c r="F141">
        <f>IF(ISERROR(MATCH(Blatt4!A141,Filter!$B:$B,0)),"",ROW())</f>
        <v>141</v>
      </c>
      <c r="G141" t="str">
        <f>IF(F141="","",Blatt4!B141)</f>
        <v>Response Curve - Gamma Factor</v>
      </c>
      <c r="H141" t="str">
        <f>IF(G141="","",IF(COUNTIF($G$1:G141,G141)=1,ROW(),""))</f>
        <v/>
      </c>
    </row>
    <row r="142" spans="1:8" x14ac:dyDescent="0.35">
      <c r="A142" t="str">
        <f>Blatt2!C143</f>
        <v/>
      </c>
      <c r="B142" t="str">
        <f>Blatt3!C143</f>
        <v/>
      </c>
      <c r="C142" t="str">
        <f t="shared" si="2"/>
        <v/>
      </c>
      <c r="F142" t="str">
        <f>IF(ISERROR(MATCH(Blatt4!A142,Filter!$B:$B,0)),"",ROW())</f>
        <v/>
      </c>
      <c r="G142" t="str">
        <f>IF(F142="","",Blatt4!B142)</f>
        <v/>
      </c>
      <c r="H142" t="str">
        <f>IF(G142="","",IF(COUNTIF($G$1:G142,G142)=1,ROW(),""))</f>
        <v/>
      </c>
    </row>
    <row r="143" spans="1:8" x14ac:dyDescent="0.35">
      <c r="A143" t="str">
        <f>Blatt2!C144</f>
        <v/>
      </c>
      <c r="B143" t="str">
        <f>Blatt3!C144</f>
        <v/>
      </c>
      <c r="C143" t="str">
        <f t="shared" si="2"/>
        <v/>
      </c>
      <c r="F143">
        <f>IF(ISERROR(MATCH(Blatt4!A143,Filter!$B:$B,0)),"",ROW())</f>
        <v>143</v>
      </c>
      <c r="G143" t="str">
        <f>IF(F143="","",Blatt4!B143)</f>
        <v>Response Curve - Gamma Factor</v>
      </c>
      <c r="H143" t="str">
        <f>IF(G143="","",IF(COUNTIF($G$1:G143,G143)=1,ROW(),""))</f>
        <v/>
      </c>
    </row>
    <row r="144" spans="1:8" x14ac:dyDescent="0.35">
      <c r="A144" t="str">
        <f>Blatt2!C145</f>
        <v/>
      </c>
      <c r="B144" t="str">
        <f>Blatt3!C145</f>
        <v/>
      </c>
      <c r="C144" t="str">
        <f t="shared" si="2"/>
        <v/>
      </c>
      <c r="F144">
        <f>IF(ISERROR(MATCH(Blatt4!A144,Filter!$B:$B,0)),"",ROW())</f>
        <v>144</v>
      </c>
      <c r="G144" t="str">
        <f>IF(F144="","",Blatt4!B144)</f>
        <v>Response Curve - Gamma Factor</v>
      </c>
      <c r="H144" t="str">
        <f>IF(G144="","",IF(COUNTIF($G$1:G144,G144)=1,ROW(),""))</f>
        <v/>
      </c>
    </row>
    <row r="145" spans="1:8" x14ac:dyDescent="0.35">
      <c r="A145" t="str">
        <f>Blatt2!C146</f>
        <v/>
      </c>
      <c r="B145" t="str">
        <f>Blatt3!C146</f>
        <v/>
      </c>
      <c r="C145" t="str">
        <f t="shared" si="2"/>
        <v/>
      </c>
      <c r="F145">
        <f>IF(ISERROR(MATCH(Blatt4!A145,Filter!$B:$B,0)),"",ROW())</f>
        <v>145</v>
      </c>
      <c r="G145" t="str">
        <f>IF(F145="","",Blatt4!B145)</f>
        <v>Response Curve - Gamma Factor</v>
      </c>
      <c r="H145" t="str">
        <f>IF(G145="","",IF(COUNTIF($G$1:G145,G145)=1,ROW(),""))</f>
        <v/>
      </c>
    </row>
    <row r="146" spans="1:8" x14ac:dyDescent="0.35">
      <c r="A146" t="str">
        <f>Blatt2!C147</f>
        <v/>
      </c>
      <c r="B146" t="str">
        <f>Blatt3!C147</f>
        <v/>
      </c>
      <c r="C146" t="str">
        <f t="shared" si="2"/>
        <v/>
      </c>
      <c r="F146">
        <f>IF(ISERROR(MATCH(Blatt4!A146,Filter!$B:$B,0)),"",ROW())</f>
        <v>146</v>
      </c>
      <c r="G146" t="str">
        <f>IF(F146="","",Blatt4!B146)</f>
        <v>Secondary Plattform Gain</v>
      </c>
      <c r="H146">
        <f>IF(G146="","",IF(COUNTIF($G$1:G146,G146)=1,ROW(),""))</f>
        <v>146</v>
      </c>
    </row>
    <row r="147" spans="1:8" x14ac:dyDescent="0.35">
      <c r="A147" t="str">
        <f>Blatt2!C148</f>
        <v/>
      </c>
      <c r="B147" t="str">
        <f>Blatt3!C148</f>
        <v/>
      </c>
      <c r="C147" t="str">
        <f t="shared" si="2"/>
        <v/>
      </c>
      <c r="F147">
        <f>IF(ISERROR(MATCH(Blatt4!A147,Filter!$B:$B,0)),"",ROW())</f>
        <v>147</v>
      </c>
      <c r="G147" t="str">
        <f>IF(F147="","",Blatt4!B147)</f>
        <v>Secondary Plattform Gain</v>
      </c>
      <c r="H147" t="str">
        <f>IF(G147="","",IF(COUNTIF($G$1:G147,G147)=1,ROW(),""))</f>
        <v/>
      </c>
    </row>
    <row r="148" spans="1:8" x14ac:dyDescent="0.35">
      <c r="A148" t="str">
        <f>Blatt2!C149</f>
        <v/>
      </c>
      <c r="B148" t="str">
        <f>Blatt3!C149</f>
        <v/>
      </c>
      <c r="C148" t="str">
        <f t="shared" si="2"/>
        <v/>
      </c>
      <c r="F148">
        <f>IF(ISERROR(MATCH(Blatt4!A148,Filter!$B:$B,0)),"",ROW())</f>
        <v>148</v>
      </c>
      <c r="G148" t="str">
        <f>IF(F148="","",Blatt4!B148)</f>
        <v>Secondary Plattform Gain</v>
      </c>
      <c r="H148" t="str">
        <f>IF(G148="","",IF(COUNTIF($G$1:G148,G148)=1,ROW(),""))</f>
        <v/>
      </c>
    </row>
    <row r="149" spans="1:8" x14ac:dyDescent="0.35">
      <c r="A149" t="str">
        <f>Blatt2!C150</f>
        <v/>
      </c>
      <c r="B149" t="str">
        <f>Blatt3!C150</f>
        <v/>
      </c>
      <c r="C149" t="str">
        <f t="shared" si="2"/>
        <v/>
      </c>
      <c r="F149">
        <f>IF(ISERROR(MATCH(Blatt4!A149,Filter!$B:$B,0)),"",ROW())</f>
        <v>149</v>
      </c>
      <c r="G149" t="str">
        <f>IF(F149="","",Blatt4!B149)</f>
        <v>Secondary Plattform Gain</v>
      </c>
      <c r="H149" t="str">
        <f>IF(G149="","",IF(COUNTIF($G$1:G149,G149)=1,ROW(),""))</f>
        <v/>
      </c>
    </row>
    <row r="150" spans="1:8" x14ac:dyDescent="0.35">
      <c r="A150" t="str">
        <f>Blatt2!C151</f>
        <v/>
      </c>
      <c r="B150" t="str">
        <f>Blatt3!C151</f>
        <v/>
      </c>
      <c r="C150" t="str">
        <f t="shared" si="2"/>
        <v/>
      </c>
      <c r="F150">
        <f>IF(ISERROR(MATCH(Blatt4!A150,Filter!$B:$B,0)),"",ROW())</f>
        <v>150</v>
      </c>
      <c r="G150" t="str">
        <f>IF(F150="","",Blatt4!B150)</f>
        <v>Secondary Plattform Gain</v>
      </c>
      <c r="H150" t="str">
        <f>IF(G150="","",IF(COUNTIF($G$1:G150,G150)=1,ROW(),""))</f>
        <v/>
      </c>
    </row>
    <row r="151" spans="1:8" x14ac:dyDescent="0.35">
      <c r="A151" t="str">
        <f>Blatt2!C152</f>
        <v/>
      </c>
      <c r="B151" t="str">
        <f>Blatt3!C152</f>
        <v/>
      </c>
      <c r="C151" t="str">
        <f t="shared" si="2"/>
        <v/>
      </c>
      <c r="F151" t="str">
        <f>IF(ISERROR(MATCH(Blatt4!A151,Filter!$B:$B,0)),"",ROW())</f>
        <v/>
      </c>
      <c r="G151" t="str">
        <f>IF(F151="","",Blatt4!B151)</f>
        <v/>
      </c>
      <c r="H151" t="str">
        <f>IF(G151="","",IF(COUNTIF($G$1:G151,G151)=1,ROW(),""))</f>
        <v/>
      </c>
    </row>
    <row r="152" spans="1:8" x14ac:dyDescent="0.35">
      <c r="A152" t="str">
        <f>Blatt2!C153</f>
        <v/>
      </c>
      <c r="B152" t="str">
        <f>Blatt3!C153</f>
        <v/>
      </c>
      <c r="C152" t="str">
        <f t="shared" si="2"/>
        <v/>
      </c>
      <c r="F152">
        <f>IF(ISERROR(MATCH(Blatt4!A152,Filter!$B:$B,0)),"",ROW())</f>
        <v>152</v>
      </c>
      <c r="G152" t="str">
        <f>IF(F152="","",Blatt4!B152)</f>
        <v>Secondary Plattform Gain</v>
      </c>
      <c r="H152" t="str">
        <f>IF(G152="","",IF(COUNTIF($G$1:G152,G152)=1,ROW(),""))</f>
        <v/>
      </c>
    </row>
    <row r="153" spans="1:8" x14ac:dyDescent="0.35">
      <c r="A153" t="str">
        <f>Blatt2!C154</f>
        <v/>
      </c>
      <c r="B153" t="str">
        <f>Blatt3!C154</f>
        <v/>
      </c>
      <c r="C153" t="str">
        <f t="shared" si="2"/>
        <v/>
      </c>
      <c r="F153">
        <f>IF(ISERROR(MATCH(Blatt4!A153,Filter!$B:$B,0)),"",ROW())</f>
        <v>153</v>
      </c>
      <c r="G153" t="str">
        <f>IF(F153="","",Blatt4!B153)</f>
        <v>Secondary Surge Gain</v>
      </c>
      <c r="H153">
        <f>IF(G153="","",IF(COUNTIF($G$1:G153,G153)=1,ROW(),""))</f>
        <v>153</v>
      </c>
    </row>
    <row r="154" spans="1:8" x14ac:dyDescent="0.35">
      <c r="A154" t="str">
        <f>Blatt2!C155</f>
        <v/>
      </c>
      <c r="B154" t="str">
        <f>Blatt3!C155</f>
        <v/>
      </c>
      <c r="C154" t="str">
        <f t="shared" si="2"/>
        <v/>
      </c>
      <c r="F154">
        <f>IF(ISERROR(MATCH(Blatt4!A154,Filter!$B:$B,0)),"",ROW())</f>
        <v>154</v>
      </c>
      <c r="G154" t="str">
        <f>IF(F154="","",Blatt4!B154)</f>
        <v>Secondary Surge Gain</v>
      </c>
      <c r="H154" t="str">
        <f>IF(G154="","",IF(COUNTIF($G$1:G154,G154)=1,ROW(),""))</f>
        <v/>
      </c>
    </row>
    <row r="155" spans="1:8" x14ac:dyDescent="0.35">
      <c r="A155" t="str">
        <f>Blatt2!C156</f>
        <v/>
      </c>
      <c r="B155" t="str">
        <f>Blatt3!C156</f>
        <v/>
      </c>
      <c r="C155" t="str">
        <f t="shared" si="2"/>
        <v/>
      </c>
      <c r="F155">
        <f>IF(ISERROR(MATCH(Blatt4!A155,Filter!$B:$B,0)),"",ROW())</f>
        <v>155</v>
      </c>
      <c r="G155" t="str">
        <f>IF(F155="","",Blatt4!B155)</f>
        <v>Secondary Surge Gain</v>
      </c>
      <c r="H155" t="str">
        <f>IF(G155="","",IF(COUNTIF($G$1:G155,G155)=1,ROW(),""))</f>
        <v/>
      </c>
    </row>
    <row r="156" spans="1:8" x14ac:dyDescent="0.35">
      <c r="A156" t="str">
        <f>Blatt2!C157</f>
        <v/>
      </c>
      <c r="B156" t="str">
        <f>Blatt3!C157</f>
        <v/>
      </c>
      <c r="C156" t="str">
        <f t="shared" si="2"/>
        <v/>
      </c>
      <c r="F156">
        <f>IF(ISERROR(MATCH(Blatt4!A156,Filter!$B:$B,0)),"",ROW())</f>
        <v>156</v>
      </c>
      <c r="G156" t="str">
        <f>IF(F156="","",Blatt4!B156)</f>
        <v>Secondary Surge Gain</v>
      </c>
      <c r="H156" t="str">
        <f>IF(G156="","",IF(COUNTIF($G$1:G156,G156)=1,ROW(),""))</f>
        <v/>
      </c>
    </row>
    <row r="157" spans="1:8" x14ac:dyDescent="0.35">
      <c r="A157" t="str">
        <f>Blatt2!C158</f>
        <v/>
      </c>
      <c r="B157" t="str">
        <f>Blatt3!C158</f>
        <v/>
      </c>
      <c r="C157" t="str">
        <f t="shared" si="2"/>
        <v/>
      </c>
      <c r="F157">
        <f>IF(ISERROR(MATCH(Blatt4!A157,Filter!$B:$B,0)),"",ROW())</f>
        <v>157</v>
      </c>
      <c r="G157" t="str">
        <f>IF(F157="","",Blatt4!B157)</f>
        <v>Secondary Surge Gain</v>
      </c>
      <c r="H157" t="str">
        <f>IF(G157="","",IF(COUNTIF($G$1:G157,G157)=1,ROW(),""))</f>
        <v/>
      </c>
    </row>
    <row r="158" spans="1:8" x14ac:dyDescent="0.35">
      <c r="A158" t="str">
        <f>Blatt2!C159</f>
        <v/>
      </c>
      <c r="B158" t="str">
        <f>Blatt3!C159</f>
        <v/>
      </c>
      <c r="C158" t="str">
        <f t="shared" si="2"/>
        <v/>
      </c>
      <c r="F158" t="str">
        <f>IF(ISERROR(MATCH(Blatt4!A158,Filter!$B:$B,0)),"",ROW())</f>
        <v/>
      </c>
      <c r="G158" t="str">
        <f>IF(F158="","",Blatt4!B158)</f>
        <v/>
      </c>
      <c r="H158" t="str">
        <f>IF(G158="","",IF(COUNTIF($G$1:G158,G158)=1,ROW(),""))</f>
        <v/>
      </c>
    </row>
    <row r="159" spans="1:8" x14ac:dyDescent="0.35">
      <c r="A159" t="str">
        <f>Blatt2!C160</f>
        <v/>
      </c>
      <c r="B159" t="str">
        <f>Blatt3!C160</f>
        <v/>
      </c>
      <c r="C159" t="str">
        <f t="shared" si="2"/>
        <v/>
      </c>
      <c r="F159">
        <f>IF(ISERROR(MATCH(Blatt4!A159,Filter!$B:$B,0)),"",ROW())</f>
        <v>159</v>
      </c>
      <c r="G159" t="str">
        <f>IF(F159="","",Blatt4!B159)</f>
        <v>Secondary Surge Gain</v>
      </c>
      <c r="H159" t="str">
        <f>IF(G159="","",IF(COUNTIF($G$1:G159,G159)=1,ROW(),""))</f>
        <v/>
      </c>
    </row>
    <row r="160" spans="1:8" x14ac:dyDescent="0.35">
      <c r="A160" t="str">
        <f>Blatt2!C161</f>
        <v/>
      </c>
      <c r="B160" t="str">
        <f>Blatt3!C161</f>
        <v/>
      </c>
      <c r="C160" t="str">
        <f t="shared" si="2"/>
        <v/>
      </c>
      <c r="F160">
        <f>IF(ISERROR(MATCH(Blatt4!A160,Filter!$B:$B,0)),"",ROW())</f>
        <v>160</v>
      </c>
      <c r="G160" t="str">
        <f>IF(F160="","",Blatt4!B160)</f>
        <v>Smoothing</v>
      </c>
      <c r="H160">
        <f>IF(G160="","",IF(COUNTIF($G$1:G160,G160)=1,ROW(),""))</f>
        <v>160</v>
      </c>
    </row>
    <row r="161" spans="1:8" x14ac:dyDescent="0.35">
      <c r="A161" t="str">
        <f>Blatt2!C162</f>
        <v/>
      </c>
      <c r="B161" t="str">
        <f>Blatt3!C162</f>
        <v/>
      </c>
      <c r="C161" t="str">
        <f t="shared" si="2"/>
        <v/>
      </c>
      <c r="F161">
        <f>IF(ISERROR(MATCH(Blatt4!A161,Filter!$B:$B,0)),"",ROW())</f>
        <v>161</v>
      </c>
      <c r="G161" t="str">
        <f>IF(F161="","",Blatt4!B161)</f>
        <v>Smoothing</v>
      </c>
      <c r="H161" t="str">
        <f>IF(G161="","",IF(COUNTIF($G$1:G161,G161)=1,ROW(),""))</f>
        <v/>
      </c>
    </row>
    <row r="162" spans="1:8" x14ac:dyDescent="0.35">
      <c r="A162" t="str">
        <f>Blatt2!C163</f>
        <v/>
      </c>
      <c r="B162" t="str">
        <f>Blatt3!C163</f>
        <v/>
      </c>
      <c r="C162" t="str">
        <f t="shared" si="2"/>
        <v/>
      </c>
      <c r="F162">
        <f>IF(ISERROR(MATCH(Blatt4!A162,Filter!$B:$B,0)),"",ROW())</f>
        <v>162</v>
      </c>
      <c r="G162" t="str">
        <f>IF(F162="","",Blatt4!B162)</f>
        <v>Smoothing</v>
      </c>
      <c r="H162" t="str">
        <f>IF(G162="","",IF(COUNTIF($G$1:G162,G162)=1,ROW(),""))</f>
        <v/>
      </c>
    </row>
    <row r="163" spans="1:8" x14ac:dyDescent="0.35">
      <c r="A163" t="str">
        <f>Blatt2!C164</f>
        <v/>
      </c>
      <c r="B163" t="str">
        <f>Blatt3!C164</f>
        <v/>
      </c>
      <c r="C163" t="str">
        <f t="shared" si="2"/>
        <v/>
      </c>
      <c r="F163">
        <f>IF(ISERROR(MATCH(Blatt4!A163,Filter!$B:$B,0)),"",ROW())</f>
        <v>163</v>
      </c>
      <c r="G163" t="str">
        <f>IF(F163="","",Blatt4!B163)</f>
        <v>Smoothing</v>
      </c>
      <c r="H163" t="str">
        <f>IF(G163="","",IF(COUNTIF($G$1:G163,G163)=1,ROW(),""))</f>
        <v/>
      </c>
    </row>
    <row r="164" spans="1:8" x14ac:dyDescent="0.35">
      <c r="A164" t="str">
        <f>Blatt2!C165</f>
        <v/>
      </c>
      <c r="B164" t="str">
        <f>Blatt3!C165</f>
        <v/>
      </c>
      <c r="C164" t="str">
        <f t="shared" si="2"/>
        <v/>
      </c>
      <c r="F164">
        <f>IF(ISERROR(MATCH(Blatt4!A164,Filter!$B:$B,0)),"",ROW())</f>
        <v>164</v>
      </c>
      <c r="G164" t="str">
        <f>IF(F164="","",Blatt4!B164)</f>
        <v>Smoothing</v>
      </c>
      <c r="H164" t="str">
        <f>IF(G164="","",IF(COUNTIF($G$1:G164,G164)=1,ROW(),""))</f>
        <v/>
      </c>
    </row>
    <row r="165" spans="1:8" x14ac:dyDescent="0.35">
      <c r="A165" t="str">
        <f>Blatt2!C166</f>
        <v/>
      </c>
      <c r="B165" t="str">
        <f>Blatt3!C166</f>
        <v/>
      </c>
      <c r="C165" t="str">
        <f t="shared" si="2"/>
        <v/>
      </c>
      <c r="F165">
        <f>IF(ISERROR(MATCH(Blatt4!A165,Filter!$B:$B,0)),"",ROW())</f>
        <v>165</v>
      </c>
      <c r="G165" t="str">
        <f>IF(F165="","",Blatt4!B165)</f>
        <v>Smoothing</v>
      </c>
      <c r="H165" t="str">
        <f>IF(G165="","",IF(COUNTIF($G$1:G165,G165)=1,ROW(),""))</f>
        <v/>
      </c>
    </row>
    <row r="166" spans="1:8" x14ac:dyDescent="0.35">
      <c r="A166" t="str">
        <f>Blatt2!C167</f>
        <v/>
      </c>
      <c r="B166" t="str">
        <f>Blatt3!C167</f>
        <v/>
      </c>
      <c r="C166" t="str">
        <f t="shared" si="2"/>
        <v/>
      </c>
      <c r="F166" t="str">
        <f>IF(ISERROR(MATCH(Blatt4!A166,Filter!$B:$B,0)),"",ROW())</f>
        <v/>
      </c>
      <c r="G166" t="str">
        <f>IF(F166="","",Blatt4!B166)</f>
        <v/>
      </c>
      <c r="H166" t="str">
        <f>IF(G166="","",IF(COUNTIF($G$1:G166,G166)=1,ROW(),""))</f>
        <v/>
      </c>
    </row>
    <row r="167" spans="1:8" x14ac:dyDescent="0.35">
      <c r="A167" t="str">
        <f>Blatt2!C168</f>
        <v/>
      </c>
      <c r="B167" t="str">
        <f>Blatt3!C168</f>
        <v/>
      </c>
      <c r="C167" t="str">
        <f t="shared" si="2"/>
        <v/>
      </c>
      <c r="F167">
        <f>IF(ISERROR(MATCH(Blatt4!A167,Filter!$B:$B,0)),"",ROW())</f>
        <v>167</v>
      </c>
      <c r="G167" t="str">
        <f>IF(F167="","",Blatt4!B167)</f>
        <v>Smoothing</v>
      </c>
      <c r="H167" t="str">
        <f>IF(G167="","",IF(COUNTIF($G$1:G167,G167)=1,ROW(),""))</f>
        <v/>
      </c>
    </row>
    <row r="168" spans="1:8" x14ac:dyDescent="0.35">
      <c r="A168" t="str">
        <f>Blatt2!C169</f>
        <v/>
      </c>
      <c r="B168" t="str">
        <f>Blatt3!C169</f>
        <v/>
      </c>
      <c r="C168" t="str">
        <f t="shared" si="2"/>
        <v/>
      </c>
      <c r="F168">
        <f>IF(ISERROR(MATCH(Blatt4!A168,Filter!$B:$B,0)),"",ROW())</f>
        <v>168</v>
      </c>
      <c r="G168" t="str">
        <f>IF(F168="","",Blatt4!B168)</f>
        <v>Soft Limiter - Dampening range</v>
      </c>
      <c r="H168">
        <f>IF(G168="","",IF(COUNTIF($G$1:G168,G168)=1,ROW(),""))</f>
        <v>168</v>
      </c>
    </row>
    <row r="169" spans="1:8" x14ac:dyDescent="0.35">
      <c r="A169" t="str">
        <f>Blatt2!C170</f>
        <v/>
      </c>
      <c r="B169" t="str">
        <f>Blatt3!C170</f>
        <v/>
      </c>
      <c r="C169" t="str">
        <f t="shared" si="2"/>
        <v/>
      </c>
      <c r="F169">
        <f>IF(ISERROR(MATCH(Blatt4!A169,Filter!$B:$B,0)),"",ROW())</f>
        <v>169</v>
      </c>
      <c r="G169" t="str">
        <f>IF(F169="","",Blatt4!B169)</f>
        <v>Soft Limiter - Dampening range</v>
      </c>
      <c r="H169" t="str">
        <f>IF(G169="","",IF(COUNTIF($G$1:G169,G169)=1,ROW(),""))</f>
        <v/>
      </c>
    </row>
    <row r="170" spans="1:8" x14ac:dyDescent="0.35">
      <c r="A170" t="str">
        <f>Blatt2!C171</f>
        <v/>
      </c>
      <c r="B170" t="str">
        <f>Blatt3!C171</f>
        <v/>
      </c>
      <c r="C170" t="str">
        <f t="shared" si="2"/>
        <v/>
      </c>
      <c r="F170">
        <f>IF(ISERROR(MATCH(Blatt4!A170,Filter!$B:$B,0)),"",ROW())</f>
        <v>170</v>
      </c>
      <c r="G170" t="str">
        <f>IF(F170="","",Blatt4!B170)</f>
        <v>Soft Limiter - Dampening range</v>
      </c>
      <c r="H170" t="str">
        <f>IF(G170="","",IF(COUNTIF($G$1:G170,G170)=1,ROW(),""))</f>
        <v/>
      </c>
    </row>
    <row r="171" spans="1:8" x14ac:dyDescent="0.35">
      <c r="A171" t="str">
        <f>Blatt2!C172</f>
        <v/>
      </c>
      <c r="B171" t="str">
        <f>Blatt3!C172</f>
        <v/>
      </c>
      <c r="C171" t="str">
        <f t="shared" si="2"/>
        <v/>
      </c>
      <c r="F171">
        <f>IF(ISERROR(MATCH(Blatt4!A171,Filter!$B:$B,0)),"",ROW())</f>
        <v>171</v>
      </c>
      <c r="G171" t="str">
        <f>IF(F171="","",Blatt4!B171)</f>
        <v>Soft Limiter - Dampening range</v>
      </c>
      <c r="H171" t="str">
        <f>IF(G171="","",IF(COUNTIF($G$1:G171,G171)=1,ROW(),""))</f>
        <v/>
      </c>
    </row>
    <row r="172" spans="1:8" x14ac:dyDescent="0.35">
      <c r="A172" t="str">
        <f>Blatt2!C173</f>
        <v/>
      </c>
      <c r="B172" t="str">
        <f>Blatt3!C173</f>
        <v/>
      </c>
      <c r="C172" t="str">
        <f t="shared" si="2"/>
        <v/>
      </c>
      <c r="F172">
        <f>IF(ISERROR(MATCH(Blatt4!A172,Filter!$B:$B,0)),"",ROW())</f>
        <v>172</v>
      </c>
      <c r="G172" t="str">
        <f>IF(F172="","",Blatt4!B172)</f>
        <v>Soft Limiter - Dampening range</v>
      </c>
      <c r="H172" t="str">
        <f>IF(G172="","",IF(COUNTIF($G$1:G172,G172)=1,ROW(),""))</f>
        <v/>
      </c>
    </row>
    <row r="173" spans="1:8" x14ac:dyDescent="0.35">
      <c r="A173" t="str">
        <f>Blatt2!C174</f>
        <v/>
      </c>
      <c r="B173" t="str">
        <f>Blatt3!C174</f>
        <v/>
      </c>
      <c r="C173" t="str">
        <f t="shared" si="2"/>
        <v/>
      </c>
      <c r="F173">
        <f>IF(ISERROR(MATCH(Blatt4!A173,Filter!$B:$B,0)),"",ROW())</f>
        <v>173</v>
      </c>
      <c r="G173" t="str">
        <f>IF(F173="","",Blatt4!B173)</f>
        <v>Soft Limiter - Dampening range</v>
      </c>
      <c r="H173" t="str">
        <f>IF(G173="","",IF(COUNTIF($G$1:G173,G173)=1,ROW(),""))</f>
        <v/>
      </c>
    </row>
    <row r="174" spans="1:8" x14ac:dyDescent="0.35">
      <c r="A174" t="str">
        <f>Blatt2!C175</f>
        <v/>
      </c>
      <c r="B174" t="str">
        <f>Blatt3!C175</f>
        <v/>
      </c>
      <c r="C174" t="str">
        <f t="shared" si="2"/>
        <v/>
      </c>
      <c r="F174">
        <f>IF(ISERROR(MATCH(Blatt4!A174,Filter!$B:$B,0)),"",ROW())</f>
        <v>174</v>
      </c>
      <c r="G174" t="str">
        <f>IF(F174="","",Blatt4!B174)</f>
        <v>Soft Limiter - Dynamic input range compression</v>
      </c>
      <c r="H174">
        <f>IF(G174="","",IF(COUNTIF($G$1:G174,G174)=1,ROW(),""))</f>
        <v>174</v>
      </c>
    </row>
    <row r="175" spans="1:8" x14ac:dyDescent="0.35">
      <c r="A175" t="str">
        <f>Blatt2!C176</f>
        <v/>
      </c>
      <c r="B175" t="str">
        <f>Blatt3!C176</f>
        <v/>
      </c>
      <c r="C175" t="str">
        <f t="shared" si="2"/>
        <v/>
      </c>
      <c r="F175">
        <f>IF(ISERROR(MATCH(Blatt4!A175,Filter!$B:$B,0)),"",ROW())</f>
        <v>175</v>
      </c>
      <c r="G175" t="str">
        <f>IF(F175="","",Blatt4!B175)</f>
        <v>Soft Limiter - Dynamic input range compression</v>
      </c>
      <c r="H175" t="str">
        <f>IF(G175="","",IF(COUNTIF($G$1:G175,G175)=1,ROW(),""))</f>
        <v/>
      </c>
    </row>
    <row r="176" spans="1:8" x14ac:dyDescent="0.35">
      <c r="A176" t="str">
        <f>Blatt2!C177</f>
        <v/>
      </c>
      <c r="B176" t="str">
        <f>Blatt3!C177</f>
        <v/>
      </c>
      <c r="C176" t="str">
        <f t="shared" si="2"/>
        <v/>
      </c>
      <c r="F176">
        <f>IF(ISERROR(MATCH(Blatt4!A176,Filter!$B:$B,0)),"",ROW())</f>
        <v>176</v>
      </c>
      <c r="G176" t="str">
        <f>IF(F176="","",Blatt4!B176)</f>
        <v>Soft Limiter - Dynamic input range compression</v>
      </c>
      <c r="H176" t="str">
        <f>IF(G176="","",IF(COUNTIF($G$1:G176,G176)=1,ROW(),""))</f>
        <v/>
      </c>
    </row>
    <row r="177" spans="1:8" x14ac:dyDescent="0.35">
      <c r="A177" t="str">
        <f>Blatt2!C178</f>
        <v/>
      </c>
      <c r="B177" t="str">
        <f>Blatt3!C178</f>
        <v/>
      </c>
      <c r="C177" t="str">
        <f t="shared" si="2"/>
        <v/>
      </c>
      <c r="F177">
        <f>IF(ISERROR(MATCH(Blatt4!A177,Filter!$B:$B,0)),"",ROW())</f>
        <v>177</v>
      </c>
      <c r="G177" t="str">
        <f>IF(F177="","",Blatt4!B177)</f>
        <v>Soft Limiter - Dynamic input range compression</v>
      </c>
      <c r="H177" t="str">
        <f>IF(G177="","",IF(COUNTIF($G$1:G177,G177)=1,ROW(),""))</f>
        <v/>
      </c>
    </row>
    <row r="178" spans="1:8" x14ac:dyDescent="0.35">
      <c r="A178" t="str">
        <f>Blatt2!C179</f>
        <v/>
      </c>
      <c r="B178" t="str">
        <f>Blatt3!C179</f>
        <v/>
      </c>
      <c r="C178" t="str">
        <f t="shared" si="2"/>
        <v/>
      </c>
      <c r="F178" t="str">
        <f>IF(ISERROR(MATCH(Blatt4!A178,Filter!$B:$B,0)),"",ROW())</f>
        <v/>
      </c>
      <c r="G178" t="str">
        <f>IF(F178="","",Blatt4!B178)</f>
        <v/>
      </c>
      <c r="H178" t="str">
        <f>IF(G178="","",IF(COUNTIF($G$1:G178,G178)=1,ROW(),""))</f>
        <v/>
      </c>
    </row>
    <row r="179" spans="1:8" x14ac:dyDescent="0.35">
      <c r="A179" t="str">
        <f>Blatt2!C180</f>
        <v/>
      </c>
      <c r="B179" t="str">
        <f>Blatt3!C180</f>
        <v/>
      </c>
      <c r="C179" t="str">
        <f t="shared" si="2"/>
        <v/>
      </c>
      <c r="F179">
        <f>IF(ISERROR(MATCH(Blatt4!A179,Filter!$B:$B,0)),"",ROW())</f>
        <v>179</v>
      </c>
      <c r="G179" t="str">
        <f>IF(F179="","",Blatt4!B179)</f>
        <v>Soft Limiter - Dynamic input range compression</v>
      </c>
      <c r="H179" t="str">
        <f>IF(G179="","",IF(COUNTIF($G$1:G179,G179)=1,ROW(),""))</f>
        <v/>
      </c>
    </row>
    <row r="180" spans="1:8" x14ac:dyDescent="0.35">
      <c r="A180" t="str">
        <f>Blatt2!C181</f>
        <v/>
      </c>
      <c r="B180" t="str">
        <f>Blatt3!C181</f>
        <v/>
      </c>
      <c r="C180" t="str">
        <f t="shared" si="2"/>
        <v/>
      </c>
      <c r="F180">
        <f>IF(ISERROR(MATCH(Blatt4!A180,Filter!$B:$B,0)),"",ROW())</f>
        <v>180</v>
      </c>
      <c r="G180" t="str">
        <f>IF(F180="","",Blatt4!B180)</f>
        <v>Soft Limiter - Dynamic input range compression</v>
      </c>
      <c r="H180" t="str">
        <f>IF(G180="","",IF(COUNTIF($G$1:G180,G180)=1,ROW(),""))</f>
        <v/>
      </c>
    </row>
    <row r="181" spans="1:8" x14ac:dyDescent="0.35">
      <c r="A181" t="str">
        <f>Blatt2!C182</f>
        <v/>
      </c>
      <c r="B181" t="str">
        <f>Blatt3!C182</f>
        <v/>
      </c>
      <c r="C181" t="str">
        <f t="shared" si="2"/>
        <v/>
      </c>
      <c r="F181" t="str">
        <f>IF(ISERROR(MATCH(Blatt4!A181,Filter!$B:$B,0)),"",ROW())</f>
        <v/>
      </c>
      <c r="G181" t="str">
        <f>IF(F181="","",Blatt4!B181)</f>
        <v/>
      </c>
      <c r="H181" t="str">
        <f>IF(G181="","",IF(COUNTIF($G$1:G181,G181)=1,ROW(),""))</f>
        <v/>
      </c>
    </row>
    <row r="182" spans="1:8" x14ac:dyDescent="0.35">
      <c r="A182" t="str">
        <f>Blatt2!C183</f>
        <v/>
      </c>
      <c r="B182" t="str">
        <f>Blatt3!C183</f>
        <v/>
      </c>
      <c r="C182" t="str">
        <f t="shared" si="2"/>
        <v/>
      </c>
      <c r="F182">
        <f>IF(ISERROR(MATCH(Blatt4!A182,Filter!$B:$B,0)),"",ROW())</f>
        <v>182</v>
      </c>
      <c r="G182" t="str">
        <f>IF(F182="","",Blatt4!B182)</f>
        <v>Source Algorythm - Traction loss angle - Lateral velocity</v>
      </c>
      <c r="H182">
        <f>IF(G182="","",IF(COUNTIF($G$1:G182,G182)=1,ROW(),""))</f>
        <v>182</v>
      </c>
    </row>
    <row r="183" spans="1:8" x14ac:dyDescent="0.35">
      <c r="A183" t="str">
        <f>Blatt2!C184</f>
        <v/>
      </c>
      <c r="B183" t="str">
        <f>Blatt3!C184</f>
        <v/>
      </c>
      <c r="C183" t="str">
        <f t="shared" si="2"/>
        <v/>
      </c>
      <c r="F183">
        <f>IF(ISERROR(MATCH(Blatt4!A183,Filter!$B:$B,0)),"",ROW())</f>
        <v>183</v>
      </c>
      <c r="G183" t="str">
        <f>IF(F183="","",Blatt4!B183)</f>
        <v>Source Algorythm - Traction loss angle - Lateral velocity</v>
      </c>
      <c r="H183" t="str">
        <f>IF(G183="","",IF(COUNTIF($G$1:G183,G183)=1,ROW(),""))</f>
        <v/>
      </c>
    </row>
    <row r="184" spans="1:8" x14ac:dyDescent="0.35">
      <c r="A184" t="str">
        <f>Blatt2!C185</f>
        <v/>
      </c>
      <c r="B184" t="str">
        <f>Blatt3!C185</f>
        <v/>
      </c>
      <c r="C184" t="str">
        <f t="shared" si="2"/>
        <v/>
      </c>
      <c r="F184">
        <f>IF(ISERROR(MATCH(Blatt4!A184,Filter!$B:$B,0)),"",ROW())</f>
        <v>184</v>
      </c>
      <c r="G184" t="str">
        <f>IF(F184="","",Blatt4!B184)</f>
        <v>Source Algorythm - Traction loss angle - Lateral velocity</v>
      </c>
      <c r="H184" t="str">
        <f>IF(G184="","",IF(COUNTIF($G$1:G184,G184)=1,ROW(),""))</f>
        <v/>
      </c>
    </row>
    <row r="185" spans="1:8" x14ac:dyDescent="0.35">
      <c r="A185" t="str">
        <f>Blatt2!C186</f>
        <v/>
      </c>
      <c r="B185" t="str">
        <f>Blatt3!C186</f>
        <v/>
      </c>
      <c r="C185" t="str">
        <f t="shared" si="2"/>
        <v/>
      </c>
      <c r="F185">
        <f>IF(ISERROR(MATCH(Blatt4!A185,Filter!$B:$B,0)),"",ROW())</f>
        <v>185</v>
      </c>
      <c r="G185" t="str">
        <f>IF(F185="","",Blatt4!B185)</f>
        <v>Source Algorythm - Traction loss angle - Lateral velocity</v>
      </c>
      <c r="H185" t="str">
        <f>IF(G185="","",IF(COUNTIF($G$1:G185,G185)=1,ROW(),""))</f>
        <v/>
      </c>
    </row>
    <row r="186" spans="1:8" x14ac:dyDescent="0.35">
      <c r="A186" t="str">
        <f>Blatt2!C187</f>
        <v/>
      </c>
      <c r="B186" t="str">
        <f>Blatt3!C187</f>
        <v/>
      </c>
      <c r="C186" t="str">
        <f t="shared" si="2"/>
        <v/>
      </c>
      <c r="F186">
        <f>IF(ISERROR(MATCH(Blatt4!A186,Filter!$B:$B,0)),"",ROW())</f>
        <v>186</v>
      </c>
      <c r="G186" t="str">
        <f>IF(F186="","",Blatt4!B186)</f>
        <v>Source Algorythm - Traction loss angle - Lateral velocity</v>
      </c>
      <c r="H186" t="str">
        <f>IF(G186="","",IF(COUNTIF($G$1:G186,G186)=1,ROW(),""))</f>
        <v/>
      </c>
    </row>
    <row r="187" spans="1:8" x14ac:dyDescent="0.35">
      <c r="A187" t="str">
        <f>Blatt2!C188</f>
        <v/>
      </c>
      <c r="B187" t="str">
        <f>Blatt3!C188</f>
        <v/>
      </c>
      <c r="C187" t="str">
        <f t="shared" si="2"/>
        <v/>
      </c>
      <c r="F187" t="str">
        <f>IF(ISERROR(MATCH(Blatt4!A187,Filter!$B:$B,0)),"",ROW())</f>
        <v/>
      </c>
      <c r="G187" t="str">
        <f>IF(F187="","",Blatt4!B187)</f>
        <v/>
      </c>
      <c r="H187" t="str">
        <f>IF(G187="","",IF(COUNTIF($G$1:G187,G187)=1,ROW(),""))</f>
        <v/>
      </c>
    </row>
    <row r="188" spans="1:8" x14ac:dyDescent="0.35">
      <c r="A188" t="str">
        <f>Blatt2!C189</f>
        <v/>
      </c>
      <c r="B188" t="str">
        <f>Blatt3!C189</f>
        <v/>
      </c>
      <c r="C188" t="str">
        <f t="shared" si="2"/>
        <v/>
      </c>
      <c r="F188">
        <f>IF(ISERROR(MATCH(Blatt4!A188,Filter!$B:$B,0)),"",ROW())</f>
        <v>188</v>
      </c>
      <c r="G188" t="str">
        <f>IF(F188="","",Blatt4!B188)</f>
        <v>Source Algorythm - Traction loss angle - Lateral velocity</v>
      </c>
      <c r="H188" t="str">
        <f>IF(G188="","",IF(COUNTIF($G$1:G188,G188)=1,ROW(),""))</f>
        <v/>
      </c>
    </row>
    <row r="189" spans="1:8" x14ac:dyDescent="0.35">
      <c r="A189" t="str">
        <f>Blatt2!C190</f>
        <v/>
      </c>
      <c r="B189" t="str">
        <f>Blatt3!C190</f>
        <v/>
      </c>
      <c r="C189" t="str">
        <f t="shared" si="2"/>
        <v/>
      </c>
      <c r="F189">
        <f>IF(ISERROR(MATCH(Blatt4!A189,Filter!$B:$B,0)),"",ROW())</f>
        <v>189</v>
      </c>
      <c r="G189" t="str">
        <f>IF(F189="","",Blatt4!B189)</f>
        <v>Surge Gain</v>
      </c>
      <c r="H189">
        <f>IF(G189="","",IF(COUNTIF($G$1:G189,G189)=1,ROW(),""))</f>
        <v>189</v>
      </c>
    </row>
    <row r="190" spans="1:8" x14ac:dyDescent="0.35">
      <c r="A190" t="str">
        <f>Blatt2!C191</f>
        <v/>
      </c>
      <c r="B190" t="str">
        <f>Blatt3!C191</f>
        <v/>
      </c>
      <c r="C190" t="str">
        <f t="shared" si="2"/>
        <v/>
      </c>
      <c r="F190">
        <f>IF(ISERROR(MATCH(Blatt4!A190,Filter!$B:$B,0)),"",ROW())</f>
        <v>190</v>
      </c>
      <c r="G190" t="str">
        <f>IF(F190="","",Blatt4!B190)</f>
        <v>Surge Gain</v>
      </c>
      <c r="H190" t="str">
        <f>IF(G190="","",IF(COUNTIF($G$1:G190,G190)=1,ROW(),""))</f>
        <v/>
      </c>
    </row>
    <row r="191" spans="1:8" x14ac:dyDescent="0.35">
      <c r="A191" t="str">
        <f>Blatt2!C192</f>
        <v/>
      </c>
      <c r="B191" t="str">
        <f>Blatt3!C192</f>
        <v/>
      </c>
      <c r="C191" t="str">
        <f t="shared" si="2"/>
        <v/>
      </c>
      <c r="F191">
        <f>IF(ISERROR(MATCH(Blatt4!A191,Filter!$B:$B,0)),"",ROW())</f>
        <v>191</v>
      </c>
      <c r="G191" t="str">
        <f>IF(F191="","",Blatt4!B191)</f>
        <v>Surge Gain</v>
      </c>
      <c r="H191" t="str">
        <f>IF(G191="","",IF(COUNTIF($G$1:G191,G191)=1,ROW(),""))</f>
        <v/>
      </c>
    </row>
    <row r="192" spans="1:8" x14ac:dyDescent="0.35">
      <c r="A192" t="str">
        <f>Blatt2!C193</f>
        <v/>
      </c>
      <c r="B192" t="str">
        <f>Blatt3!C193</f>
        <v/>
      </c>
      <c r="C192" t="str">
        <f t="shared" si="2"/>
        <v/>
      </c>
      <c r="F192">
        <f>IF(ISERROR(MATCH(Blatt4!A192,Filter!$B:$B,0)),"",ROW())</f>
        <v>192</v>
      </c>
      <c r="G192" t="str">
        <f>IF(F192="","",Blatt4!B192)</f>
        <v>Surge Gain</v>
      </c>
      <c r="H192" t="str">
        <f>IF(G192="","",IF(COUNTIF($G$1:G192,G192)=1,ROW(),""))</f>
        <v/>
      </c>
    </row>
    <row r="193" spans="1:8" x14ac:dyDescent="0.35">
      <c r="A193" t="str">
        <f>Blatt2!C194</f>
        <v/>
      </c>
      <c r="B193" t="str">
        <f>Blatt3!C194</f>
        <v/>
      </c>
      <c r="C193" t="str">
        <f t="shared" si="2"/>
        <v/>
      </c>
      <c r="F193">
        <f>IF(ISERROR(MATCH(Blatt4!A193,Filter!$B:$B,0)),"",ROW())</f>
        <v>193</v>
      </c>
      <c r="G193" t="str">
        <f>IF(F193="","",Blatt4!B193)</f>
        <v>Surge Gain</v>
      </c>
      <c r="H193" t="str">
        <f>IF(G193="","",IF(COUNTIF($G$1:G193,G193)=1,ROW(),""))</f>
        <v/>
      </c>
    </row>
    <row r="194" spans="1:8" x14ac:dyDescent="0.35">
      <c r="A194" t="str">
        <f>Blatt2!C195</f>
        <v/>
      </c>
      <c r="B194" t="str">
        <f>Blatt3!C195</f>
        <v/>
      </c>
      <c r="C194" t="str">
        <f t="shared" ref="C194:C257" si="3">IF(B194="","",ROW())</f>
        <v/>
      </c>
      <c r="F194" t="str">
        <f>IF(ISERROR(MATCH(Blatt4!A194,Filter!$B:$B,0)),"",ROW())</f>
        <v/>
      </c>
      <c r="G194" t="str">
        <f>IF(F194="","",Blatt4!B194)</f>
        <v/>
      </c>
      <c r="H194" t="str">
        <f>IF(G194="","",IF(COUNTIF($G$1:G194,G194)=1,ROW(),""))</f>
        <v/>
      </c>
    </row>
    <row r="195" spans="1:8" x14ac:dyDescent="0.35">
      <c r="A195" t="str">
        <f>Blatt2!C196</f>
        <v/>
      </c>
      <c r="B195" t="str">
        <f>Blatt3!C196</f>
        <v/>
      </c>
      <c r="C195" t="str">
        <f t="shared" si="3"/>
        <v/>
      </c>
      <c r="F195">
        <f>IF(ISERROR(MATCH(Blatt4!A195,Filter!$B:$B,0)),"",ROW())</f>
        <v>195</v>
      </c>
      <c r="G195" t="str">
        <f>IF(F195="","",Blatt4!B195)</f>
        <v>Surge Gain</v>
      </c>
      <c r="H195" t="str">
        <f>IF(G195="","",IF(COUNTIF($G$1:G195,G195)=1,ROW(),""))</f>
        <v/>
      </c>
    </row>
    <row r="196" spans="1:8" x14ac:dyDescent="0.35">
      <c r="A196" t="str">
        <f>Blatt2!C197</f>
        <v/>
      </c>
      <c r="B196" t="str">
        <f>Blatt3!C197</f>
        <v/>
      </c>
      <c r="C196" t="str">
        <f t="shared" si="3"/>
        <v/>
      </c>
      <c r="F196" t="str">
        <f>IF(ISERROR(MATCH(Blatt4!A196,Filter!$B:$B,0)),"",ROW())</f>
        <v/>
      </c>
      <c r="G196" t="str">
        <f>IF(F196="","",Blatt4!B196)</f>
        <v/>
      </c>
      <c r="H196" t="str">
        <f>IF(G196="","",IF(COUNTIF($G$1:G196,G196)=1,ROW(),""))</f>
        <v/>
      </c>
    </row>
    <row r="197" spans="1:8" x14ac:dyDescent="0.35">
      <c r="A197" t="str">
        <f>Blatt2!C198</f>
        <v/>
      </c>
      <c r="B197" t="str">
        <f>Blatt3!C198</f>
        <v/>
      </c>
      <c r="C197" t="str">
        <f t="shared" si="3"/>
        <v/>
      </c>
      <c r="F197">
        <f>IF(ISERROR(MATCH(Blatt4!A197,Filter!$B:$B,0)),"",ROW())</f>
        <v>197</v>
      </c>
      <c r="G197" t="str">
        <f>IF(F197="","",Blatt4!B197)</f>
        <v>Synchronize filtering and input limit settings with Heave</v>
      </c>
      <c r="H197">
        <f>IF(G197="","",IF(COUNTIF($G$1:G197,G197)=1,ROW(),""))</f>
        <v>197</v>
      </c>
    </row>
    <row r="198" spans="1:8" x14ac:dyDescent="0.35">
      <c r="A198" t="str">
        <f>Blatt2!C199</f>
        <v/>
      </c>
      <c r="B198" t="str">
        <f>Blatt3!C199</f>
        <v/>
      </c>
      <c r="C198" t="str">
        <f t="shared" si="3"/>
        <v/>
      </c>
      <c r="F198">
        <f>IF(ISERROR(MATCH(Blatt4!A198,Filter!$B:$B,0)),"",ROW())</f>
        <v>198</v>
      </c>
      <c r="G198" t="str">
        <f>IF(F198="","",Blatt4!B198)</f>
        <v>Synchronize filtering and input limit settings with Heave</v>
      </c>
      <c r="H198" t="str">
        <f>IF(G198="","",IF(COUNTIF($G$1:G198,G198)=1,ROW(),""))</f>
        <v/>
      </c>
    </row>
    <row r="199" spans="1:8" x14ac:dyDescent="0.35">
      <c r="A199" t="str">
        <f>Blatt2!C200</f>
        <v/>
      </c>
      <c r="B199" t="str">
        <f>Blatt3!C200</f>
        <v/>
      </c>
      <c r="C199" t="str">
        <f t="shared" si="3"/>
        <v/>
      </c>
      <c r="F199">
        <f>IF(ISERROR(MATCH(Blatt4!A199,Filter!$B:$B,0)),"",ROW())</f>
        <v>199</v>
      </c>
      <c r="G199" t="str">
        <f>IF(F199="","",Blatt4!B199)</f>
        <v>Synchronize filtering and input limit settings with Heave</v>
      </c>
      <c r="H199" t="str">
        <f>IF(G199="","",IF(COUNTIF($G$1:G199,G199)=1,ROW(),""))</f>
        <v/>
      </c>
    </row>
    <row r="200" spans="1:8" x14ac:dyDescent="0.35">
      <c r="A200" t="str">
        <f>Blatt2!C201</f>
        <v/>
      </c>
      <c r="B200" t="str">
        <f>Blatt3!C201</f>
        <v/>
      </c>
      <c r="C200" t="str">
        <f t="shared" si="3"/>
        <v/>
      </c>
      <c r="F200">
        <f>IF(ISERROR(MATCH(Blatt4!A200,Filter!$B:$B,0)),"",ROW())</f>
        <v>200</v>
      </c>
      <c r="G200" t="str">
        <f>IF(F200="","",Blatt4!B200)</f>
        <v>Synchronize filtering and input limit settings with Heave</v>
      </c>
      <c r="H200" t="str">
        <f>IF(G200="","",IF(COUNTIF($G$1:G200,G200)=1,ROW(),""))</f>
        <v/>
      </c>
    </row>
    <row r="201" spans="1:8" x14ac:dyDescent="0.35">
      <c r="A201" t="str">
        <f>Blatt2!C202</f>
        <v/>
      </c>
      <c r="B201" t="str">
        <f>Blatt3!C202</f>
        <v/>
      </c>
      <c r="C201" t="str">
        <f t="shared" si="3"/>
        <v/>
      </c>
      <c r="F201">
        <f>IF(ISERROR(MATCH(Blatt4!A201,Filter!$B:$B,0)),"",ROW())</f>
        <v>201</v>
      </c>
      <c r="G201" t="str">
        <f>IF(F201="","",Blatt4!B201)</f>
        <v>Synchronize filtering and input limit settings with Heave</v>
      </c>
      <c r="H201" t="str">
        <f>IF(G201="","",IF(COUNTIF($G$1:G201,G201)=1,ROW(),""))</f>
        <v/>
      </c>
    </row>
    <row r="202" spans="1:8" x14ac:dyDescent="0.35">
      <c r="A202" t="str">
        <f>Blatt2!C203</f>
        <v/>
      </c>
      <c r="B202" t="str">
        <f>Blatt3!C203</f>
        <v/>
      </c>
      <c r="C202" t="str">
        <f t="shared" si="3"/>
        <v/>
      </c>
      <c r="F202" t="str">
        <f>IF(ISERROR(MATCH(Blatt4!A202,Filter!$B:$B,0)),"",ROW())</f>
        <v/>
      </c>
      <c r="G202" t="str">
        <f>IF(F202="","",Blatt4!B202)</f>
        <v/>
      </c>
      <c r="H202" t="str">
        <f>IF(G202="","",IF(COUNTIF($G$1:G202,G202)=1,ROW(),""))</f>
        <v/>
      </c>
    </row>
    <row r="203" spans="1:8" x14ac:dyDescent="0.35">
      <c r="A203" t="str">
        <f>Blatt2!C204</f>
        <v/>
      </c>
      <c r="B203" t="str">
        <f>Blatt3!C204</f>
        <v/>
      </c>
      <c r="C203" t="str">
        <f t="shared" si="3"/>
        <v/>
      </c>
      <c r="F203">
        <f>IF(ISERROR(MATCH(Blatt4!A203,Filter!$B:$B,0)),"",ROW())</f>
        <v>203</v>
      </c>
      <c r="G203" t="str">
        <f>IF(F203="","",Blatt4!B203)</f>
        <v>Synchronize filtering and input limit settings with Heave</v>
      </c>
      <c r="H203" t="str">
        <f>IF(G203="","",IF(COUNTIF($G$1:G203,G203)=1,ROW(),""))</f>
        <v/>
      </c>
    </row>
    <row r="204" spans="1:8" x14ac:dyDescent="0.35">
      <c r="A204" t="str">
        <f>Blatt2!C205</f>
        <v/>
      </c>
      <c r="B204" t="str">
        <f>Blatt3!C205</f>
        <v/>
      </c>
      <c r="C204" t="str">
        <f t="shared" si="3"/>
        <v/>
      </c>
      <c r="F204" t="str">
        <f>IF(ISERROR(MATCH(Blatt4!A204,Filter!$B:$B,0)),"",ROW())</f>
        <v/>
      </c>
      <c r="G204" t="str">
        <f>IF(F204="","",Blatt4!B204)</f>
        <v/>
      </c>
      <c r="H204" t="str">
        <f>IF(G204="","",IF(COUNTIF($G$1:G204,G204)=1,ROW(),""))</f>
        <v/>
      </c>
    </row>
    <row r="205" spans="1:8" x14ac:dyDescent="0.35">
      <c r="A205" t="str">
        <f>Blatt2!C206</f>
        <v/>
      </c>
      <c r="B205" t="str">
        <f>Blatt3!C206</f>
        <v/>
      </c>
      <c r="C205" t="str">
        <f t="shared" si="3"/>
        <v/>
      </c>
      <c r="F205">
        <f>IF(ISERROR(MATCH(Blatt4!A205,Filter!$B:$B,0)),"",ROW())</f>
        <v>205</v>
      </c>
      <c r="G205" t="str">
        <f>IF(F205="","",Blatt4!B205)</f>
        <v>Synchronize filtering and input limit settings with Pitch</v>
      </c>
      <c r="H205">
        <f>IF(G205="","",IF(COUNTIF($G$1:G205,G205)=1,ROW(),""))</f>
        <v>205</v>
      </c>
    </row>
    <row r="206" spans="1:8" x14ac:dyDescent="0.35">
      <c r="A206" t="str">
        <f>Blatt2!C207</f>
        <v/>
      </c>
      <c r="B206" t="str">
        <f>Blatt3!C207</f>
        <v/>
      </c>
      <c r="C206" t="str">
        <f t="shared" si="3"/>
        <v/>
      </c>
      <c r="F206">
        <f>IF(ISERROR(MATCH(Blatt4!A206,Filter!$B:$B,0)),"",ROW())</f>
        <v>206</v>
      </c>
      <c r="G206" t="str">
        <f>IF(F206="","",Blatt4!B206)</f>
        <v>Synchronize filtering and input limit settings with Pitch</v>
      </c>
      <c r="H206" t="str">
        <f>IF(G206="","",IF(COUNTIF($G$1:G206,G206)=1,ROW(),""))</f>
        <v/>
      </c>
    </row>
    <row r="207" spans="1:8" x14ac:dyDescent="0.35">
      <c r="A207" t="str">
        <f>Blatt2!C208</f>
        <v/>
      </c>
      <c r="B207" t="str">
        <f>Blatt3!C208</f>
        <v/>
      </c>
      <c r="C207" t="str">
        <f t="shared" si="3"/>
        <v/>
      </c>
      <c r="F207">
        <f>IF(ISERROR(MATCH(Blatt4!A207,Filter!$B:$B,0)),"",ROW())</f>
        <v>207</v>
      </c>
      <c r="G207" t="str">
        <f>IF(F207="","",Blatt4!B207)</f>
        <v>Synchronize filtering and input limit settings with Pitch</v>
      </c>
      <c r="H207" t="str">
        <f>IF(G207="","",IF(COUNTIF($G$1:G207,G207)=1,ROW(),""))</f>
        <v/>
      </c>
    </row>
    <row r="208" spans="1:8" x14ac:dyDescent="0.35">
      <c r="A208" t="str">
        <f>Blatt2!C209</f>
        <v/>
      </c>
      <c r="B208" t="str">
        <f>Blatt3!C209</f>
        <v/>
      </c>
      <c r="C208" t="str">
        <f t="shared" si="3"/>
        <v/>
      </c>
      <c r="F208">
        <f>IF(ISERROR(MATCH(Blatt4!A208,Filter!$B:$B,0)),"",ROW())</f>
        <v>208</v>
      </c>
      <c r="G208" t="str">
        <f>IF(F208="","",Blatt4!B208)</f>
        <v>Synchronize filtering and input limit settings with Pitch</v>
      </c>
      <c r="H208" t="str">
        <f>IF(G208="","",IF(COUNTIF($G$1:G208,G208)=1,ROW(),""))</f>
        <v/>
      </c>
    </row>
    <row r="209" spans="1:8" x14ac:dyDescent="0.35">
      <c r="A209" t="str">
        <f>Blatt2!C210</f>
        <v/>
      </c>
      <c r="B209" t="str">
        <f>Blatt3!C210</f>
        <v/>
      </c>
      <c r="C209" t="str">
        <f t="shared" si="3"/>
        <v/>
      </c>
      <c r="F209">
        <f>IF(ISERROR(MATCH(Blatt4!A209,Filter!$B:$B,0)),"",ROW())</f>
        <v>209</v>
      </c>
      <c r="G209" t="str">
        <f>IF(F209="","",Blatt4!B209)</f>
        <v>Synchronize filtering and input limit settings with Pitch</v>
      </c>
      <c r="H209" t="str">
        <f>IF(G209="","",IF(COUNTIF($G$1:G209,G209)=1,ROW(),""))</f>
        <v/>
      </c>
    </row>
    <row r="210" spans="1:8" x14ac:dyDescent="0.35">
      <c r="A210" t="str">
        <f>Blatt2!C211</f>
        <v/>
      </c>
      <c r="B210" t="str">
        <f>Blatt3!C211</f>
        <v/>
      </c>
      <c r="C210" t="str">
        <f t="shared" si="3"/>
        <v/>
      </c>
      <c r="F210" t="str">
        <f>IF(ISERROR(MATCH(Blatt4!A210,Filter!$B:$B,0)),"",ROW())</f>
        <v/>
      </c>
      <c r="G210" t="str">
        <f>IF(F210="","",Blatt4!B210)</f>
        <v/>
      </c>
      <c r="H210" t="str">
        <f>IF(G210="","",IF(COUNTIF($G$1:G210,G210)=1,ROW(),""))</f>
        <v/>
      </c>
    </row>
    <row r="211" spans="1:8" x14ac:dyDescent="0.35">
      <c r="A211" t="str">
        <f>Blatt2!C212</f>
        <v/>
      </c>
      <c r="B211" t="str">
        <f>Blatt3!C212</f>
        <v/>
      </c>
      <c r="C211" t="str">
        <f t="shared" si="3"/>
        <v/>
      </c>
      <c r="F211">
        <f>IF(ISERROR(MATCH(Blatt4!A211,Filter!$B:$B,0)),"",ROW())</f>
        <v>211</v>
      </c>
      <c r="G211" t="str">
        <f>IF(F211="","",Blatt4!B211)</f>
        <v>Synchronize filtering and input limit settings with Pitch</v>
      </c>
      <c r="H211" t="str">
        <f>IF(G211="","",IF(COUNTIF($G$1:G211,G211)=1,ROW(),""))</f>
        <v/>
      </c>
    </row>
    <row r="212" spans="1:8" x14ac:dyDescent="0.35">
      <c r="A212" t="str">
        <f>Blatt2!C213</f>
        <v/>
      </c>
      <c r="B212" t="str">
        <f>Blatt3!C213</f>
        <v/>
      </c>
      <c r="C212" t="str">
        <f t="shared" si="3"/>
        <v/>
      </c>
      <c r="F212" t="str">
        <f>IF(ISERROR(MATCH(Blatt4!A212,Filter!$B:$B,0)),"",ROW())</f>
        <v/>
      </c>
      <c r="G212" t="str">
        <f>IF(F212="","",Blatt4!B212)</f>
        <v/>
      </c>
      <c r="H212" t="str">
        <f>IF(G212="","",IF(COUNTIF($G$1:G212,G212)=1,ROW(),""))</f>
        <v/>
      </c>
    </row>
    <row r="213" spans="1:8" x14ac:dyDescent="0.35">
      <c r="A213" t="str">
        <f>Blatt2!C214</f>
        <v/>
      </c>
      <c r="B213" t="str">
        <f>Blatt3!C214</f>
        <v/>
      </c>
      <c r="C213" t="str">
        <f t="shared" si="3"/>
        <v/>
      </c>
      <c r="F213">
        <f>IF(ISERROR(MATCH(Blatt4!A213,Filter!$B:$B,0)),"",ROW())</f>
        <v>213</v>
      </c>
      <c r="G213" t="str">
        <f>IF(F213="","",Blatt4!B213)</f>
        <v>Synchronize filtering and input limit settings with Roll</v>
      </c>
      <c r="H213">
        <f>IF(G213="","",IF(COUNTIF($G$1:G213,G213)=1,ROW(),""))</f>
        <v>213</v>
      </c>
    </row>
    <row r="214" spans="1:8" x14ac:dyDescent="0.35">
      <c r="A214" t="str">
        <f>Blatt2!C215</f>
        <v/>
      </c>
      <c r="B214" t="str">
        <f>Blatt3!C215</f>
        <v/>
      </c>
      <c r="C214" t="str">
        <f t="shared" si="3"/>
        <v/>
      </c>
      <c r="F214">
        <f>IF(ISERROR(MATCH(Blatt4!A214,Filter!$B:$B,0)),"",ROW())</f>
        <v>214</v>
      </c>
      <c r="G214" t="str">
        <f>IF(F214="","",Blatt4!B214)</f>
        <v>Synchronize filtering and input limit settings with Roll</v>
      </c>
      <c r="H214" t="str">
        <f>IF(G214="","",IF(COUNTIF($G$1:G214,G214)=1,ROW(),""))</f>
        <v/>
      </c>
    </row>
    <row r="215" spans="1:8" x14ac:dyDescent="0.35">
      <c r="A215" t="str">
        <f>Blatt2!C216</f>
        <v/>
      </c>
      <c r="B215" t="str">
        <f>Blatt3!C216</f>
        <v/>
      </c>
      <c r="C215" t="str">
        <f t="shared" si="3"/>
        <v/>
      </c>
      <c r="F215">
        <f>IF(ISERROR(MATCH(Blatt4!A215,Filter!$B:$B,0)),"",ROW())</f>
        <v>215</v>
      </c>
      <c r="G215" t="str">
        <f>IF(F215="","",Blatt4!B215)</f>
        <v>Synchronize filtering and input limit settings with Roll</v>
      </c>
      <c r="H215" t="str">
        <f>IF(G215="","",IF(COUNTIF($G$1:G215,G215)=1,ROW(),""))</f>
        <v/>
      </c>
    </row>
    <row r="216" spans="1:8" x14ac:dyDescent="0.35">
      <c r="A216" t="str">
        <f>Blatt2!C217</f>
        <v/>
      </c>
      <c r="B216" t="str">
        <f>Blatt3!C217</f>
        <v/>
      </c>
      <c r="C216" t="str">
        <f t="shared" si="3"/>
        <v/>
      </c>
      <c r="F216">
        <f>IF(ISERROR(MATCH(Blatt4!A216,Filter!$B:$B,0)),"",ROW())</f>
        <v>216</v>
      </c>
      <c r="G216" t="str">
        <f>IF(F216="","",Blatt4!B216)</f>
        <v>Synchronize filtering and input limit settings with Roll</v>
      </c>
      <c r="H216" t="str">
        <f>IF(G216="","",IF(COUNTIF($G$1:G216,G216)=1,ROW(),""))</f>
        <v/>
      </c>
    </row>
    <row r="217" spans="1:8" x14ac:dyDescent="0.35">
      <c r="A217" t="str">
        <f>Blatt2!C218</f>
        <v/>
      </c>
      <c r="B217" t="str">
        <f>Blatt3!C218</f>
        <v/>
      </c>
      <c r="C217" t="str">
        <f t="shared" si="3"/>
        <v/>
      </c>
      <c r="F217">
        <f>IF(ISERROR(MATCH(Blatt4!A217,Filter!$B:$B,0)),"",ROW())</f>
        <v>217</v>
      </c>
      <c r="G217" t="str">
        <f>IF(F217="","",Blatt4!B217)</f>
        <v>Synchronize filtering and input limit settings with Roll</v>
      </c>
      <c r="H217" t="str">
        <f>IF(G217="","",IF(COUNTIF($G$1:G217,G217)=1,ROW(),""))</f>
        <v/>
      </c>
    </row>
    <row r="218" spans="1:8" x14ac:dyDescent="0.35">
      <c r="A218" t="str">
        <f>Blatt2!C219</f>
        <v/>
      </c>
      <c r="B218" t="str">
        <f>Blatt3!C219</f>
        <v/>
      </c>
      <c r="C218" t="str">
        <f t="shared" si="3"/>
        <v/>
      </c>
      <c r="F218" t="str">
        <f>IF(ISERROR(MATCH(Blatt4!A218,Filter!$B:$B,0)),"",ROW())</f>
        <v/>
      </c>
      <c r="G218" t="str">
        <f>IF(F218="","",Blatt4!B218)</f>
        <v/>
      </c>
      <c r="H218" t="str">
        <f>IF(G218="","",IF(COUNTIF($G$1:G218,G218)=1,ROW(),""))</f>
        <v/>
      </c>
    </row>
    <row r="219" spans="1:8" x14ac:dyDescent="0.35">
      <c r="A219" t="str">
        <f>Blatt2!C220</f>
        <v/>
      </c>
      <c r="B219" t="str">
        <f>Blatt3!C220</f>
        <v/>
      </c>
      <c r="C219" t="str">
        <f t="shared" si="3"/>
        <v/>
      </c>
      <c r="F219">
        <f>IF(ISERROR(MATCH(Blatt4!A219,Filter!$B:$B,0)),"",ROW())</f>
        <v>219</v>
      </c>
      <c r="G219" t="str">
        <f>IF(F219="","",Blatt4!B219)</f>
        <v>Synchronize filtering and input limit settings with Roll</v>
      </c>
      <c r="H219" t="str">
        <f>IF(G219="","",IF(COUNTIF($G$1:G219,G219)=1,ROW(),""))</f>
        <v/>
      </c>
    </row>
    <row r="220" spans="1:8" x14ac:dyDescent="0.35">
      <c r="A220" t="str">
        <f>Blatt2!C221</f>
        <v/>
      </c>
      <c r="B220" t="str">
        <f>Blatt3!C221</f>
        <v/>
      </c>
      <c r="C220" t="str">
        <f t="shared" si="3"/>
        <v/>
      </c>
      <c r="F220" t="str">
        <f>IF(ISERROR(MATCH(Blatt4!A220,Filter!$B:$B,0)),"",ROW())</f>
        <v/>
      </c>
      <c r="G220" t="str">
        <f>IF(F220="","",Blatt4!B220)</f>
        <v/>
      </c>
      <c r="H220" t="str">
        <f>IF(G220="","",IF(COUNTIF($G$1:G220,G220)=1,ROW(),""))</f>
        <v/>
      </c>
    </row>
    <row r="221" spans="1:8" x14ac:dyDescent="0.35">
      <c r="A221" t="str">
        <f>Blatt2!C222</f>
        <v/>
      </c>
      <c r="B221" t="str">
        <f>Blatt3!C222</f>
        <v/>
      </c>
      <c r="C221" t="str">
        <f t="shared" si="3"/>
        <v/>
      </c>
      <c r="F221">
        <f>IF(ISERROR(MATCH(Blatt4!A221,Filter!$B:$B,0)),"",ROW())</f>
        <v>221</v>
      </c>
      <c r="G221" t="str">
        <f>IF(F221="","",Blatt4!B221)</f>
        <v>Synchronize filtering and input limit settings with Surge to pitch</v>
      </c>
      <c r="H221">
        <f>IF(G221="","",IF(COUNTIF($G$1:G221,G221)=1,ROW(),""))</f>
        <v>221</v>
      </c>
    </row>
    <row r="222" spans="1:8" x14ac:dyDescent="0.35">
      <c r="A222" t="str">
        <f>Blatt2!C223</f>
        <v/>
      </c>
      <c r="B222" t="str">
        <f>Blatt3!C223</f>
        <v/>
      </c>
      <c r="C222" t="str">
        <f t="shared" si="3"/>
        <v/>
      </c>
      <c r="F222">
        <f>IF(ISERROR(MATCH(Blatt4!A222,Filter!$B:$B,0)),"",ROW())</f>
        <v>222</v>
      </c>
      <c r="G222" t="str">
        <f>IF(F222="","",Blatt4!B222)</f>
        <v>Synchronize filtering and input limit settings with Surge to pitch</v>
      </c>
      <c r="H222" t="str">
        <f>IF(G222="","",IF(COUNTIF($G$1:G222,G222)=1,ROW(),""))</f>
        <v/>
      </c>
    </row>
    <row r="223" spans="1:8" x14ac:dyDescent="0.35">
      <c r="A223" t="str">
        <f>Blatt2!C224</f>
        <v/>
      </c>
      <c r="B223" t="str">
        <f>Blatt3!C224</f>
        <v/>
      </c>
      <c r="C223" t="str">
        <f t="shared" si="3"/>
        <v/>
      </c>
      <c r="F223">
        <f>IF(ISERROR(MATCH(Blatt4!A223,Filter!$B:$B,0)),"",ROW())</f>
        <v>223</v>
      </c>
      <c r="G223" t="str">
        <f>IF(F223="","",Blatt4!B223)</f>
        <v>Synchronize filtering and input limit settings with Surge to pitch</v>
      </c>
      <c r="H223" t="str">
        <f>IF(G223="","",IF(COUNTIF($G$1:G223,G223)=1,ROW(),""))</f>
        <v/>
      </c>
    </row>
    <row r="224" spans="1:8" x14ac:dyDescent="0.35">
      <c r="A224" t="str">
        <f>Blatt2!C225</f>
        <v/>
      </c>
      <c r="B224" t="str">
        <f>Blatt3!C225</f>
        <v/>
      </c>
      <c r="C224" t="str">
        <f t="shared" si="3"/>
        <v/>
      </c>
      <c r="F224">
        <f>IF(ISERROR(MATCH(Blatt4!A224,Filter!$B:$B,0)),"",ROW())</f>
        <v>224</v>
      </c>
      <c r="G224" t="str">
        <f>IF(F224="","",Blatt4!B224)</f>
        <v>Synchronize filtering and input limit settings with Surge to pitch</v>
      </c>
      <c r="H224" t="str">
        <f>IF(G224="","",IF(COUNTIF($G$1:G224,G224)=1,ROW(),""))</f>
        <v/>
      </c>
    </row>
    <row r="225" spans="1:8" x14ac:dyDescent="0.35">
      <c r="A225" t="str">
        <f>Blatt2!C226</f>
        <v/>
      </c>
      <c r="B225" t="str">
        <f>Blatt3!C226</f>
        <v/>
      </c>
      <c r="C225" t="str">
        <f t="shared" si="3"/>
        <v/>
      </c>
      <c r="F225">
        <f>IF(ISERROR(MATCH(Blatt4!A225,Filter!$B:$B,0)),"",ROW())</f>
        <v>225</v>
      </c>
      <c r="G225" t="str">
        <f>IF(F225="","",Blatt4!B225)</f>
        <v>Synchronize filtering and input limit settings with Surge to pitch</v>
      </c>
      <c r="H225" t="str">
        <f>IF(G225="","",IF(COUNTIF($G$1:G225,G225)=1,ROW(),""))</f>
        <v/>
      </c>
    </row>
    <row r="226" spans="1:8" x14ac:dyDescent="0.35">
      <c r="A226" t="str">
        <f>Blatt2!C227</f>
        <v/>
      </c>
      <c r="B226" t="str">
        <f>Blatt3!C227</f>
        <v/>
      </c>
      <c r="C226" t="str">
        <f t="shared" si="3"/>
        <v/>
      </c>
      <c r="F226" t="str">
        <f>IF(ISERROR(MATCH(Blatt4!A226,Filter!$B:$B,0)),"",ROW())</f>
        <v/>
      </c>
      <c r="G226" t="str">
        <f>IF(F226="","",Blatt4!B226)</f>
        <v/>
      </c>
      <c r="H226" t="str">
        <f>IF(G226="","",IF(COUNTIF($G$1:G226,G226)=1,ROW(),""))</f>
        <v/>
      </c>
    </row>
    <row r="227" spans="1:8" x14ac:dyDescent="0.35">
      <c r="A227" t="str">
        <f>Blatt2!C228</f>
        <v/>
      </c>
      <c r="B227" t="str">
        <f>Blatt3!C228</f>
        <v/>
      </c>
      <c r="C227" t="str">
        <f t="shared" si="3"/>
        <v/>
      </c>
      <c r="F227">
        <f>IF(ISERROR(MATCH(Blatt4!A227,Filter!$B:$B,0)),"",ROW())</f>
        <v>227</v>
      </c>
      <c r="G227" t="str">
        <f>IF(F227="","",Blatt4!B227)</f>
        <v>Synchronize filtering and input limit settings with Surge to pitch</v>
      </c>
      <c r="H227" t="str">
        <f>IF(G227="","",IF(COUNTIF($G$1:G227,G227)=1,ROW(),""))</f>
        <v/>
      </c>
    </row>
    <row r="228" spans="1:8" x14ac:dyDescent="0.35">
      <c r="A228" t="str">
        <f>Blatt2!C229</f>
        <v/>
      </c>
      <c r="B228" t="str">
        <f>Blatt3!C229</f>
        <v/>
      </c>
      <c r="C228" t="str">
        <f t="shared" si="3"/>
        <v/>
      </c>
      <c r="F228" t="str">
        <f>IF(ISERROR(MATCH(Blatt4!A228,Filter!$B:$B,0)),"",ROW())</f>
        <v/>
      </c>
      <c r="G228" t="str">
        <f>IF(F228="","",Blatt4!B228)</f>
        <v/>
      </c>
      <c r="H228" t="str">
        <f>IF(G228="","",IF(COUNTIF($G$1:G228,G228)=1,ROW(),""))</f>
        <v/>
      </c>
    </row>
    <row r="229" spans="1:8" x14ac:dyDescent="0.35">
      <c r="A229" t="str">
        <f>Blatt2!C230</f>
        <v/>
      </c>
      <c r="B229" t="str">
        <f>Blatt3!C230</f>
        <v/>
      </c>
      <c r="C229" t="str">
        <f t="shared" si="3"/>
        <v/>
      </c>
      <c r="F229">
        <f>IF(ISERROR(MATCH(Blatt4!A229,Filter!$B:$B,0)),"",ROW())</f>
        <v>229</v>
      </c>
      <c r="G229" t="str">
        <f>IF(F229="","",Blatt4!B229)</f>
        <v>Synchronize filtering and input limit settings with Sway to Roll</v>
      </c>
      <c r="H229">
        <f>IF(G229="","",IF(COUNTIF($G$1:G229,G229)=1,ROW(),""))</f>
        <v>229</v>
      </c>
    </row>
    <row r="230" spans="1:8" x14ac:dyDescent="0.35">
      <c r="A230" t="str">
        <f>Blatt2!C231</f>
        <v/>
      </c>
      <c r="B230" t="str">
        <f>Blatt3!C231</f>
        <v/>
      </c>
      <c r="C230" t="str">
        <f t="shared" si="3"/>
        <v/>
      </c>
      <c r="F230">
        <f>IF(ISERROR(MATCH(Blatt4!A230,Filter!$B:$B,0)),"",ROW())</f>
        <v>230</v>
      </c>
      <c r="G230" t="str">
        <f>IF(F230="","",Blatt4!B230)</f>
        <v>Synchronize filtering and input limit settings with Sway to Roll</v>
      </c>
      <c r="H230" t="str">
        <f>IF(G230="","",IF(COUNTIF($G$1:G230,G230)=1,ROW(),""))</f>
        <v/>
      </c>
    </row>
    <row r="231" spans="1:8" x14ac:dyDescent="0.35">
      <c r="A231" t="str">
        <f>Blatt2!C232</f>
        <v/>
      </c>
      <c r="B231" t="str">
        <f>Blatt3!C232</f>
        <v/>
      </c>
      <c r="C231" t="str">
        <f t="shared" si="3"/>
        <v/>
      </c>
      <c r="F231">
        <f>IF(ISERROR(MATCH(Blatt4!A231,Filter!$B:$B,0)),"",ROW())</f>
        <v>231</v>
      </c>
      <c r="G231" t="str">
        <f>IF(F231="","",Blatt4!B231)</f>
        <v>Synchronize filtering and input limit settings with Sway to Roll</v>
      </c>
      <c r="H231" t="str">
        <f>IF(G231="","",IF(COUNTIF($G$1:G231,G231)=1,ROW(),""))</f>
        <v/>
      </c>
    </row>
    <row r="232" spans="1:8" x14ac:dyDescent="0.35">
      <c r="A232" t="str">
        <f>Blatt2!C233</f>
        <v/>
      </c>
      <c r="B232" t="str">
        <f>Blatt3!C233</f>
        <v/>
      </c>
      <c r="C232" t="str">
        <f t="shared" si="3"/>
        <v/>
      </c>
      <c r="F232">
        <f>IF(ISERROR(MATCH(Blatt4!A232,Filter!$B:$B,0)),"",ROW())</f>
        <v>232</v>
      </c>
      <c r="G232" t="str">
        <f>IF(F232="","",Blatt4!B232)</f>
        <v>Synchronize filtering and input limit settings with Sway to Roll</v>
      </c>
      <c r="H232" t="str">
        <f>IF(G232="","",IF(COUNTIF($G$1:G232,G232)=1,ROW(),""))</f>
        <v/>
      </c>
    </row>
    <row r="233" spans="1:8" x14ac:dyDescent="0.35">
      <c r="A233" t="str">
        <f>Blatt2!C234</f>
        <v/>
      </c>
      <c r="B233" t="str">
        <f>Blatt3!C234</f>
        <v/>
      </c>
      <c r="C233" t="str">
        <f t="shared" si="3"/>
        <v/>
      </c>
      <c r="F233">
        <f>IF(ISERROR(MATCH(Blatt4!A233,Filter!$B:$B,0)),"",ROW())</f>
        <v>233</v>
      </c>
      <c r="G233" t="str">
        <f>IF(F233="","",Blatt4!B233)</f>
        <v>Synchronize filtering and input limit settings with Sway to Roll</v>
      </c>
      <c r="H233" t="str">
        <f>IF(G233="","",IF(COUNTIF($G$1:G233,G233)=1,ROW(),""))</f>
        <v/>
      </c>
    </row>
    <row r="234" spans="1:8" x14ac:dyDescent="0.35">
      <c r="A234" t="str">
        <f>Blatt2!C235</f>
        <v/>
      </c>
      <c r="B234" t="str">
        <f>Blatt3!C235</f>
        <v/>
      </c>
      <c r="C234" t="str">
        <f t="shared" si="3"/>
        <v/>
      </c>
      <c r="F234" t="str">
        <f>IF(ISERROR(MATCH(Blatt4!A234,Filter!$B:$B,0)),"",ROW())</f>
        <v/>
      </c>
      <c r="G234" t="str">
        <f>IF(F234="","",Blatt4!B234)</f>
        <v/>
      </c>
      <c r="H234" t="str">
        <f>IF(G234="","",IF(COUNTIF($G$1:G234,G234)=1,ROW(),""))</f>
        <v/>
      </c>
    </row>
    <row r="235" spans="1:8" x14ac:dyDescent="0.35">
      <c r="A235" t="str">
        <f>Blatt2!C236</f>
        <v/>
      </c>
      <c r="B235" t="str">
        <f>Blatt3!C236</f>
        <v/>
      </c>
      <c r="C235" t="str">
        <f t="shared" si="3"/>
        <v/>
      </c>
      <c r="F235">
        <f>IF(ISERROR(MATCH(Blatt4!A235,Filter!$B:$B,0)),"",ROW())</f>
        <v>235</v>
      </c>
      <c r="G235" t="str">
        <f>IF(F235="","",Blatt4!B235)</f>
        <v>Synchronize filtering and input limit settings with Sway to Roll</v>
      </c>
      <c r="H235" t="str">
        <f>IF(G235="","",IF(COUNTIF($G$1:G235,G235)=1,ROW(),""))</f>
        <v/>
      </c>
    </row>
    <row r="236" spans="1:8" x14ac:dyDescent="0.35">
      <c r="A236" t="str">
        <f>Blatt2!C237</f>
        <v/>
      </c>
      <c r="B236" t="str">
        <f>Blatt3!C237</f>
        <v/>
      </c>
      <c r="C236" t="str">
        <f t="shared" si="3"/>
        <v/>
      </c>
      <c r="F236">
        <f>IF(ISERROR(MATCH(Blatt4!A236,Filter!$B:$B,0)),"",ROW())</f>
        <v>236</v>
      </c>
      <c r="G236" t="str">
        <f>IF(F236="","",Blatt4!B236)</f>
        <v>Traction Loss Gain</v>
      </c>
      <c r="H236">
        <f>IF(G236="","",IF(COUNTIF($G$1:G236,G236)=1,ROW(),""))</f>
        <v>236</v>
      </c>
    </row>
    <row r="237" spans="1:8" x14ac:dyDescent="0.35">
      <c r="A237" t="str">
        <f>Blatt2!C238</f>
        <v/>
      </c>
      <c r="B237" t="str">
        <f>Blatt3!C238</f>
        <v/>
      </c>
      <c r="C237" t="str">
        <f t="shared" si="3"/>
        <v/>
      </c>
      <c r="F237">
        <f>IF(ISERROR(MATCH(Blatt4!A237,Filter!$B:$B,0)),"",ROW())</f>
        <v>237</v>
      </c>
      <c r="G237" t="str">
        <f>IF(F237="","",Blatt4!B237)</f>
        <v>Traction Loss Gain</v>
      </c>
      <c r="H237" t="str">
        <f>IF(G237="","",IF(COUNTIF($G$1:G237,G237)=1,ROW(),""))</f>
        <v/>
      </c>
    </row>
    <row r="238" spans="1:8" x14ac:dyDescent="0.35">
      <c r="A238" t="str">
        <f>Blatt2!C239</f>
        <v/>
      </c>
      <c r="B238" t="str">
        <f>Blatt3!C239</f>
        <v/>
      </c>
      <c r="C238" t="str">
        <f t="shared" si="3"/>
        <v/>
      </c>
      <c r="F238">
        <f>IF(ISERROR(MATCH(Blatt4!A238,Filter!$B:$B,0)),"",ROW())</f>
        <v>238</v>
      </c>
      <c r="G238" t="str">
        <f>IF(F238="","",Blatt4!B238)</f>
        <v>Traction Loss Gain</v>
      </c>
      <c r="H238" t="str">
        <f>IF(G238="","",IF(COUNTIF($G$1:G238,G238)=1,ROW(),""))</f>
        <v/>
      </c>
    </row>
    <row r="239" spans="1:8" x14ac:dyDescent="0.35">
      <c r="A239" t="str">
        <f>Blatt2!C240</f>
        <v/>
      </c>
      <c r="B239" t="str">
        <f>Blatt3!C240</f>
        <v/>
      </c>
      <c r="C239" t="str">
        <f t="shared" si="3"/>
        <v/>
      </c>
      <c r="F239">
        <f>IF(ISERROR(MATCH(Blatt4!A239,Filter!$B:$B,0)),"",ROW())</f>
        <v>239</v>
      </c>
      <c r="G239" t="str">
        <f>IF(F239="","",Blatt4!B239)</f>
        <v>Traction Loss Gain</v>
      </c>
      <c r="H239" t="str">
        <f>IF(G239="","",IF(COUNTIF($G$1:G239,G239)=1,ROW(),""))</f>
        <v/>
      </c>
    </row>
    <row r="240" spans="1:8" x14ac:dyDescent="0.35">
      <c r="A240" t="str">
        <f>Blatt2!C241</f>
        <v/>
      </c>
      <c r="B240" t="str">
        <f>Blatt3!C241</f>
        <v/>
      </c>
      <c r="C240" t="str">
        <f t="shared" si="3"/>
        <v/>
      </c>
      <c r="F240">
        <f>IF(ISERROR(MATCH(Blatt4!A240,Filter!$B:$B,0)),"",ROW())</f>
        <v>240</v>
      </c>
      <c r="G240" t="str">
        <f>IF(F240="","",Blatt4!B240)</f>
        <v>Traction Loss Gain</v>
      </c>
      <c r="H240" t="str">
        <f>IF(G240="","",IF(COUNTIF($G$1:G240,G240)=1,ROW(),""))</f>
        <v/>
      </c>
    </row>
    <row r="241" spans="1:8" x14ac:dyDescent="0.35">
      <c r="A241" t="str">
        <f>Blatt2!C242</f>
        <v/>
      </c>
      <c r="B241" t="str">
        <f>Blatt3!C242</f>
        <v/>
      </c>
      <c r="C241" t="str">
        <f t="shared" si="3"/>
        <v/>
      </c>
      <c r="F241" t="str">
        <f>IF(ISERROR(MATCH(Blatt4!A241,Filter!$B:$B,0)),"",ROW())</f>
        <v/>
      </c>
      <c r="G241" t="str">
        <f>IF(F241="","",Blatt4!B241)</f>
        <v/>
      </c>
      <c r="H241" t="str">
        <f>IF(G241="","",IF(COUNTIF($G$1:G241,G241)=1,ROW(),""))</f>
        <v/>
      </c>
    </row>
    <row r="242" spans="1:8" x14ac:dyDescent="0.35">
      <c r="A242" t="str">
        <f>Blatt2!C243</f>
        <v/>
      </c>
      <c r="B242" t="str">
        <f>Blatt3!C243</f>
        <v/>
      </c>
      <c r="C242" t="str">
        <f t="shared" si="3"/>
        <v/>
      </c>
      <c r="F242">
        <f>IF(ISERROR(MATCH(Blatt4!A242,Filter!$B:$B,0)),"",ROW())</f>
        <v>242</v>
      </c>
      <c r="G242" t="str">
        <f>IF(F242="","",Blatt4!B242)</f>
        <v>Traction Loss Gain</v>
      </c>
      <c r="H242" t="str">
        <f>IF(G242="","",IF(COUNTIF($G$1:G242,G242)=1,ROW(),""))</f>
        <v/>
      </c>
    </row>
    <row r="243" spans="1:8" x14ac:dyDescent="0.35">
      <c r="A243" t="str">
        <f>Blatt2!C244</f>
        <v/>
      </c>
      <c r="B243" t="str">
        <f>Blatt3!C244</f>
        <v/>
      </c>
      <c r="C243" t="str">
        <f t="shared" si="3"/>
        <v/>
      </c>
      <c r="F243">
        <f>IF(ISERROR(MATCH(Blatt4!A243,Filter!$B:$B,0)),"",ROW())</f>
        <v>243</v>
      </c>
      <c r="G243" t="str">
        <f>IF(F243="","",Blatt4!B243)</f>
        <v>Use turn rate at low speed - Turn rate sensibility</v>
      </c>
      <c r="H243">
        <f>IF(G243="","",IF(COUNTIF($G$1:G243,G243)=1,ROW(),""))</f>
        <v>243</v>
      </c>
    </row>
    <row r="244" spans="1:8" x14ac:dyDescent="0.35">
      <c r="A244" t="str">
        <f>Blatt2!C245</f>
        <v/>
      </c>
      <c r="B244" t="str">
        <f>Blatt3!C245</f>
        <v/>
      </c>
      <c r="C244" t="str">
        <f t="shared" si="3"/>
        <v/>
      </c>
      <c r="F244">
        <f>IF(ISERROR(MATCH(Blatt4!A244,Filter!$B:$B,0)),"",ROW())</f>
        <v>244</v>
      </c>
      <c r="G244" t="str">
        <f>IF(F244="","",Blatt4!B244)</f>
        <v>Use turn rate at low speed - Turn rate sensibility</v>
      </c>
      <c r="H244" t="str">
        <f>IF(G244="","",IF(COUNTIF($G$1:G244,G244)=1,ROW(),""))</f>
        <v/>
      </c>
    </row>
    <row r="245" spans="1:8" x14ac:dyDescent="0.35">
      <c r="A245" t="str">
        <f>Blatt2!C246</f>
        <v/>
      </c>
      <c r="B245" t="str">
        <f>Blatt3!C246</f>
        <v/>
      </c>
      <c r="C245" t="str">
        <f t="shared" si="3"/>
        <v/>
      </c>
      <c r="F245">
        <f>IF(ISERROR(MATCH(Blatt4!A245,Filter!$B:$B,0)),"",ROW())</f>
        <v>245</v>
      </c>
      <c r="G245" t="str">
        <f>IF(F245="","",Blatt4!B245)</f>
        <v>Use turn rate at low speed - Turn rate sensibility</v>
      </c>
      <c r="H245" t="str">
        <f>IF(G245="","",IF(COUNTIF($G$1:G245,G245)=1,ROW(),""))</f>
        <v/>
      </c>
    </row>
    <row r="246" spans="1:8" x14ac:dyDescent="0.35">
      <c r="A246" t="str">
        <f>Blatt2!C247</f>
        <v/>
      </c>
      <c r="B246" t="str">
        <f>Blatt3!C247</f>
        <v/>
      </c>
      <c r="C246" t="str">
        <f t="shared" si="3"/>
        <v/>
      </c>
      <c r="F246">
        <f>IF(ISERROR(MATCH(Blatt4!A246,Filter!$B:$B,0)),"",ROW())</f>
        <v>246</v>
      </c>
      <c r="G246" t="str">
        <f>IF(F246="","",Blatt4!B246)</f>
        <v>Use turn rate at low speed - Turn rate sensibility</v>
      </c>
      <c r="H246" t="str">
        <f>IF(G246="","",IF(COUNTIF($G$1:G246,G246)=1,ROW(),""))</f>
        <v/>
      </c>
    </row>
    <row r="247" spans="1:8" x14ac:dyDescent="0.35">
      <c r="A247" t="str">
        <f>Blatt2!C248</f>
        <v/>
      </c>
      <c r="B247" t="str">
        <f>Blatt3!C248</f>
        <v/>
      </c>
      <c r="C247" t="str">
        <f t="shared" si="3"/>
        <v/>
      </c>
      <c r="F247" t="str">
        <f>IF(ISERROR(MATCH(Blatt4!A247,Filter!$B:$B,0)),"",ROW())</f>
        <v/>
      </c>
      <c r="G247" t="str">
        <f>IF(F247="","",Blatt4!B247)</f>
        <v/>
      </c>
      <c r="H247" t="str">
        <f>IF(G247="","",IF(COUNTIF($G$1:G247,G247)=1,ROW(),""))</f>
        <v/>
      </c>
    </row>
    <row r="248" spans="1:8" x14ac:dyDescent="0.35">
      <c r="A248" t="str">
        <f>Blatt2!C249</f>
        <v/>
      </c>
      <c r="B248" t="str">
        <f>Blatt3!C249</f>
        <v/>
      </c>
      <c r="C248" t="str">
        <f t="shared" si="3"/>
        <v/>
      </c>
      <c r="F248">
        <f>IF(ISERROR(MATCH(Blatt4!A248,Filter!$B:$B,0)),"",ROW())</f>
        <v>248</v>
      </c>
      <c r="G248" t="str">
        <f>IF(F248="","",Blatt4!B248)</f>
        <v>Use turn rate at low speed - Turn rate sensibility</v>
      </c>
      <c r="H248" t="str">
        <f>IF(G248="","",IF(COUNTIF($G$1:G248,G248)=1,ROW(),""))</f>
        <v/>
      </c>
    </row>
    <row r="249" spans="1:8" x14ac:dyDescent="0.35">
      <c r="A249" t="str">
        <f>Blatt2!C250</f>
        <v/>
      </c>
      <c r="B249" t="str">
        <f>Blatt3!C250</f>
        <v/>
      </c>
      <c r="C249" t="str">
        <f t="shared" si="3"/>
        <v/>
      </c>
      <c r="F249">
        <f>IF(ISERROR(MATCH(Blatt4!A249,Filter!$B:$B,0)),"",ROW())</f>
        <v>249</v>
      </c>
      <c r="G249" t="str">
        <f>IF(F249="","",Blatt4!B249)</f>
        <v>Washout (Return to Center)</v>
      </c>
      <c r="H249">
        <f>IF(G249="","",IF(COUNTIF($G$1:G249,G249)=1,ROW(),""))</f>
        <v>249</v>
      </c>
    </row>
    <row r="250" spans="1:8" x14ac:dyDescent="0.35">
      <c r="A250" t="str">
        <f>Blatt2!C251</f>
        <v/>
      </c>
      <c r="B250" t="str">
        <f>Blatt3!C251</f>
        <v/>
      </c>
      <c r="C250" t="str">
        <f t="shared" si="3"/>
        <v/>
      </c>
      <c r="F250">
        <f>IF(ISERROR(MATCH(Blatt4!A250,Filter!$B:$B,0)),"",ROW())</f>
        <v>250</v>
      </c>
      <c r="G250" t="str">
        <f>IF(F250="","",Blatt4!B250)</f>
        <v>Washout (Return to Center)</v>
      </c>
      <c r="H250" t="str">
        <f>IF(G250="","",IF(COUNTIF($G$1:G250,G250)=1,ROW(),""))</f>
        <v/>
      </c>
    </row>
    <row r="251" spans="1:8" x14ac:dyDescent="0.35">
      <c r="A251" t="str">
        <f>Blatt2!C252</f>
        <v/>
      </c>
      <c r="B251" t="str">
        <f>Blatt3!C252</f>
        <v/>
      </c>
      <c r="C251" t="str">
        <f t="shared" si="3"/>
        <v/>
      </c>
      <c r="F251">
        <f>IF(ISERROR(MATCH(Blatt4!A251,Filter!$B:$B,0)),"",ROW())</f>
        <v>251</v>
      </c>
      <c r="G251" t="str">
        <f>IF(F251="","",Blatt4!B251)</f>
        <v>Washout (Return to Center)</v>
      </c>
      <c r="H251" t="str">
        <f>IF(G251="","",IF(COUNTIF($G$1:G251,G251)=1,ROW(),""))</f>
        <v/>
      </c>
    </row>
    <row r="252" spans="1:8" x14ac:dyDescent="0.35">
      <c r="A252" t="str">
        <f>Blatt2!C253</f>
        <v/>
      </c>
      <c r="B252" t="str">
        <f>Blatt3!C253</f>
        <v/>
      </c>
      <c r="C252" t="str">
        <f t="shared" si="3"/>
        <v/>
      </c>
      <c r="F252" t="str">
        <f>IF(ISERROR(MATCH(Blatt4!A252,Filter!$B:$B,0)),"",ROW())</f>
        <v/>
      </c>
      <c r="G252" t="str">
        <f>IF(F252="","",Blatt4!B252)</f>
        <v/>
      </c>
      <c r="H252" t="str">
        <f>IF(G252="","",IF(COUNTIF($G$1:G252,G252)=1,ROW(),""))</f>
        <v/>
      </c>
    </row>
    <row r="253" spans="1:8" x14ac:dyDescent="0.35">
      <c r="A253" t="str">
        <f>Blatt2!C254</f>
        <v/>
      </c>
      <c r="B253" t="str">
        <f>Blatt3!C254</f>
        <v/>
      </c>
      <c r="C253" t="str">
        <f t="shared" si="3"/>
        <v/>
      </c>
      <c r="F253">
        <f>IF(ISERROR(MATCH(Blatt4!A253,Filter!$B:$B,0)),"",ROW())</f>
        <v>253</v>
      </c>
      <c r="G253" t="str">
        <f>IF(F253="","",Blatt4!B253)</f>
        <v>Washout (Return to Center)</v>
      </c>
      <c r="H253" t="str">
        <f>IF(G253="","",IF(COUNTIF($G$1:G253,G253)=1,ROW(),""))</f>
        <v/>
      </c>
    </row>
    <row r="254" spans="1:8" x14ac:dyDescent="0.35">
      <c r="A254" t="str">
        <f>Blatt2!C255</f>
        <v/>
      </c>
      <c r="B254" t="str">
        <f>Blatt3!C255</f>
        <v/>
      </c>
      <c r="C254" t="str">
        <f t="shared" si="3"/>
        <v/>
      </c>
    </row>
    <row r="255" spans="1:8" x14ac:dyDescent="0.35">
      <c r="A255" t="str">
        <f>Blatt2!C256</f>
        <v/>
      </c>
      <c r="B255" t="str">
        <f>Blatt3!C256</f>
        <v/>
      </c>
      <c r="C255" t="str">
        <f t="shared" si="3"/>
        <v/>
      </c>
    </row>
    <row r="256" spans="1:8" x14ac:dyDescent="0.35">
      <c r="A256" t="str">
        <f>Blatt2!C257</f>
        <v/>
      </c>
      <c r="B256" t="str">
        <f>Blatt3!C257</f>
        <v/>
      </c>
      <c r="C256" t="str">
        <f t="shared" si="3"/>
        <v/>
      </c>
    </row>
    <row r="257" spans="1:3" x14ac:dyDescent="0.35">
      <c r="A257" t="str">
        <f>Blatt2!C258</f>
        <v/>
      </c>
      <c r="B257" t="str">
        <f>Blatt3!C258</f>
        <v/>
      </c>
      <c r="C257" t="str">
        <f t="shared" si="3"/>
        <v/>
      </c>
    </row>
    <row r="258" spans="1:3" x14ac:dyDescent="0.35">
      <c r="A258" t="str">
        <f>Blatt2!C259</f>
        <v/>
      </c>
      <c r="B258" t="str">
        <f>Blatt3!C259</f>
        <v/>
      </c>
      <c r="C258" t="str">
        <f t="shared" ref="C258:C321" si="4">IF(B258="","",ROW())</f>
        <v/>
      </c>
    </row>
    <row r="259" spans="1:3" x14ac:dyDescent="0.35">
      <c r="A259" t="str">
        <f>Blatt2!C260</f>
        <v/>
      </c>
      <c r="B259" t="str">
        <f>Blatt3!C260</f>
        <v/>
      </c>
      <c r="C259" t="str">
        <f t="shared" si="4"/>
        <v/>
      </c>
    </row>
    <row r="260" spans="1:3" x14ac:dyDescent="0.35">
      <c r="A260" t="str">
        <f>Blatt2!C261</f>
        <v/>
      </c>
      <c r="B260" t="str">
        <f>Blatt3!C261</f>
        <v/>
      </c>
      <c r="C260" t="str">
        <f t="shared" si="4"/>
        <v/>
      </c>
    </row>
    <row r="261" spans="1:3" x14ac:dyDescent="0.35">
      <c r="A261" t="str">
        <f>Blatt2!C262</f>
        <v/>
      </c>
      <c r="B261" t="str">
        <f>Blatt3!C262</f>
        <v/>
      </c>
      <c r="C261" t="str">
        <f t="shared" si="4"/>
        <v/>
      </c>
    </row>
    <row r="262" spans="1:3" x14ac:dyDescent="0.35">
      <c r="A262" t="str">
        <f>Blatt2!C263</f>
        <v/>
      </c>
      <c r="B262" t="str">
        <f>Blatt3!C263</f>
        <v/>
      </c>
      <c r="C262" t="str">
        <f t="shared" si="4"/>
        <v/>
      </c>
    </row>
    <row r="263" spans="1:3" x14ac:dyDescent="0.35">
      <c r="A263" t="str">
        <f>Blatt2!C264</f>
        <v/>
      </c>
      <c r="B263" t="str">
        <f>Blatt3!C264</f>
        <v/>
      </c>
      <c r="C263" t="str">
        <f t="shared" si="4"/>
        <v/>
      </c>
    </row>
    <row r="264" spans="1:3" x14ac:dyDescent="0.35">
      <c r="A264" t="str">
        <f>Blatt2!C265</f>
        <v/>
      </c>
      <c r="B264" t="str">
        <f>Blatt3!C265</f>
        <v/>
      </c>
      <c r="C264" t="str">
        <f t="shared" si="4"/>
        <v/>
      </c>
    </row>
    <row r="265" spans="1:3" x14ac:dyDescent="0.35">
      <c r="A265" t="str">
        <f>Blatt2!C266</f>
        <v/>
      </c>
      <c r="B265" t="str">
        <f>Blatt3!C266</f>
        <v/>
      </c>
      <c r="C265" t="str">
        <f t="shared" si="4"/>
        <v/>
      </c>
    </row>
    <row r="266" spans="1:3" x14ac:dyDescent="0.35">
      <c r="A266" t="str">
        <f>Blatt2!C267</f>
        <v/>
      </c>
      <c r="B266" t="str">
        <f>Blatt3!C267</f>
        <v/>
      </c>
      <c r="C266" t="str">
        <f t="shared" si="4"/>
        <v/>
      </c>
    </row>
    <row r="267" spans="1:3" x14ac:dyDescent="0.35">
      <c r="A267" t="str">
        <f>Blatt2!C268</f>
        <v/>
      </c>
      <c r="B267" t="str">
        <f>Blatt3!C268</f>
        <v/>
      </c>
      <c r="C267" t="str">
        <f t="shared" si="4"/>
        <v/>
      </c>
    </row>
    <row r="268" spans="1:3" x14ac:dyDescent="0.35">
      <c r="A268" t="str">
        <f>Blatt2!C269</f>
        <v/>
      </c>
      <c r="B268" t="str">
        <f>Blatt3!C269</f>
        <v/>
      </c>
      <c r="C268" t="str">
        <f t="shared" si="4"/>
        <v/>
      </c>
    </row>
    <row r="269" spans="1:3" x14ac:dyDescent="0.35">
      <c r="A269" t="str">
        <f>Blatt2!C270</f>
        <v/>
      </c>
      <c r="B269" t="str">
        <f>Blatt3!C270</f>
        <v/>
      </c>
      <c r="C269" t="str">
        <f t="shared" si="4"/>
        <v/>
      </c>
    </row>
    <row r="270" spans="1:3" x14ac:dyDescent="0.35">
      <c r="A270" t="str">
        <f>Blatt2!C271</f>
        <v/>
      </c>
      <c r="B270" t="str">
        <f>Blatt3!C271</f>
        <v/>
      </c>
      <c r="C270" t="str">
        <f t="shared" si="4"/>
        <v/>
      </c>
    </row>
    <row r="271" spans="1:3" x14ac:dyDescent="0.35">
      <c r="A271" t="str">
        <f>Blatt2!C272</f>
        <v/>
      </c>
      <c r="B271" t="str">
        <f>Blatt3!C272</f>
        <v/>
      </c>
      <c r="C271" t="str">
        <f t="shared" si="4"/>
        <v/>
      </c>
    </row>
    <row r="272" spans="1:3" x14ac:dyDescent="0.35">
      <c r="A272" t="str">
        <f>Blatt2!C273</f>
        <v/>
      </c>
      <c r="B272" t="str">
        <f>Blatt3!C273</f>
        <v/>
      </c>
      <c r="C272" t="str">
        <f t="shared" si="4"/>
        <v/>
      </c>
    </row>
    <row r="273" spans="1:3" x14ac:dyDescent="0.35">
      <c r="A273" t="str">
        <f>Blatt2!C274</f>
        <v/>
      </c>
      <c r="B273" t="str">
        <f>Blatt3!C274</f>
        <v/>
      </c>
      <c r="C273" t="str">
        <f t="shared" si="4"/>
        <v/>
      </c>
    </row>
    <row r="274" spans="1:3" x14ac:dyDescent="0.35">
      <c r="A274" t="str">
        <f>Blatt2!C275</f>
        <v/>
      </c>
      <c r="B274" t="str">
        <f>Blatt3!C275</f>
        <v/>
      </c>
      <c r="C274" t="str">
        <f t="shared" si="4"/>
        <v/>
      </c>
    </row>
    <row r="275" spans="1:3" x14ac:dyDescent="0.35">
      <c r="A275" t="str">
        <f>Blatt2!C276</f>
        <v/>
      </c>
      <c r="B275" t="str">
        <f>Blatt3!C276</f>
        <v/>
      </c>
      <c r="C275" t="str">
        <f t="shared" si="4"/>
        <v/>
      </c>
    </row>
    <row r="276" spans="1:3" x14ac:dyDescent="0.35">
      <c r="A276" t="str">
        <f>Blatt2!C277</f>
        <v/>
      </c>
      <c r="B276" t="str">
        <f>Blatt3!C277</f>
        <v/>
      </c>
      <c r="C276" t="str">
        <f t="shared" si="4"/>
        <v/>
      </c>
    </row>
    <row r="277" spans="1:3" x14ac:dyDescent="0.35">
      <c r="A277" t="str">
        <f>Blatt2!C278</f>
        <v/>
      </c>
      <c r="B277" t="str">
        <f>Blatt3!C278</f>
        <v/>
      </c>
      <c r="C277" t="str">
        <f t="shared" si="4"/>
        <v/>
      </c>
    </row>
    <row r="278" spans="1:3" x14ac:dyDescent="0.35">
      <c r="A278" t="str">
        <f>Blatt2!C279</f>
        <v/>
      </c>
      <c r="B278" t="str">
        <f>Blatt3!C279</f>
        <v/>
      </c>
      <c r="C278" t="str">
        <f t="shared" si="4"/>
        <v/>
      </c>
    </row>
    <row r="279" spans="1:3" x14ac:dyDescent="0.35">
      <c r="A279" t="str">
        <f>Blatt2!C280</f>
        <v/>
      </c>
      <c r="B279" t="str">
        <f>Blatt3!C280</f>
        <v/>
      </c>
      <c r="C279" t="str">
        <f t="shared" si="4"/>
        <v/>
      </c>
    </row>
    <row r="280" spans="1:3" x14ac:dyDescent="0.35">
      <c r="A280" t="str">
        <f>Blatt2!C281</f>
        <v/>
      </c>
      <c r="B280" t="str">
        <f>Blatt3!C281</f>
        <v/>
      </c>
      <c r="C280" t="str">
        <f t="shared" si="4"/>
        <v/>
      </c>
    </row>
    <row r="281" spans="1:3" x14ac:dyDescent="0.35">
      <c r="A281" t="str">
        <f>Blatt2!C282</f>
        <v/>
      </c>
      <c r="B281" t="str">
        <f>Blatt3!C282</f>
        <v/>
      </c>
      <c r="C281" t="str">
        <f t="shared" si="4"/>
        <v/>
      </c>
    </row>
    <row r="282" spans="1:3" x14ac:dyDescent="0.35">
      <c r="A282" t="str">
        <f>Blatt2!C283</f>
        <v/>
      </c>
      <c r="B282" t="str">
        <f>Blatt3!C283</f>
        <v/>
      </c>
      <c r="C282" t="str">
        <f t="shared" si="4"/>
        <v/>
      </c>
    </row>
    <row r="283" spans="1:3" x14ac:dyDescent="0.35">
      <c r="A283" t="str">
        <f>Blatt2!C284</f>
        <v/>
      </c>
      <c r="B283" t="str">
        <f>Blatt3!C284</f>
        <v/>
      </c>
      <c r="C283" t="str">
        <f t="shared" si="4"/>
        <v/>
      </c>
    </row>
    <row r="284" spans="1:3" x14ac:dyDescent="0.35">
      <c r="A284" t="str">
        <f>Blatt2!C285</f>
        <v/>
      </c>
      <c r="B284" t="str">
        <f>Blatt3!C285</f>
        <v/>
      </c>
      <c r="C284" t="str">
        <f t="shared" si="4"/>
        <v/>
      </c>
    </row>
    <row r="285" spans="1:3" x14ac:dyDescent="0.35">
      <c r="A285" t="str">
        <f>Blatt2!C286</f>
        <v/>
      </c>
      <c r="B285" t="str">
        <f>Blatt3!C286</f>
        <v/>
      </c>
      <c r="C285" t="str">
        <f t="shared" si="4"/>
        <v/>
      </c>
    </row>
    <row r="286" spans="1:3" x14ac:dyDescent="0.35">
      <c r="A286" t="str">
        <f>Blatt2!C287</f>
        <v/>
      </c>
      <c r="B286" t="str">
        <f>Blatt3!C287</f>
        <v/>
      </c>
      <c r="C286" t="str">
        <f t="shared" si="4"/>
        <v/>
      </c>
    </row>
    <row r="287" spans="1:3" x14ac:dyDescent="0.35">
      <c r="A287" t="str">
        <f>Blatt2!C288</f>
        <v/>
      </c>
      <c r="B287" t="str">
        <f>Blatt3!C288</f>
        <v/>
      </c>
      <c r="C287" t="str">
        <f t="shared" si="4"/>
        <v/>
      </c>
    </row>
    <row r="288" spans="1:3" x14ac:dyDescent="0.35">
      <c r="A288" t="str">
        <f>Blatt2!C289</f>
        <v/>
      </c>
      <c r="B288" t="str">
        <f>Blatt3!C289</f>
        <v/>
      </c>
      <c r="C288" t="str">
        <f t="shared" si="4"/>
        <v/>
      </c>
    </row>
    <row r="289" spans="1:3" x14ac:dyDescent="0.35">
      <c r="A289" t="str">
        <f>Blatt2!C290</f>
        <v/>
      </c>
      <c r="B289" t="str">
        <f>Blatt3!C290</f>
        <v/>
      </c>
      <c r="C289" t="str">
        <f t="shared" si="4"/>
        <v/>
      </c>
    </row>
    <row r="290" spans="1:3" x14ac:dyDescent="0.35">
      <c r="A290" t="str">
        <f>Blatt2!C291</f>
        <v/>
      </c>
      <c r="B290" t="str">
        <f>Blatt3!C291</f>
        <v/>
      </c>
      <c r="C290" t="str">
        <f t="shared" si="4"/>
        <v/>
      </c>
    </row>
    <row r="291" spans="1:3" x14ac:dyDescent="0.35">
      <c r="A291" t="str">
        <f>Blatt2!C292</f>
        <v/>
      </c>
      <c r="B291" t="str">
        <f>Blatt3!C292</f>
        <v/>
      </c>
      <c r="C291" t="str">
        <f t="shared" si="4"/>
        <v/>
      </c>
    </row>
    <row r="292" spans="1:3" x14ac:dyDescent="0.35">
      <c r="A292" t="str">
        <f>Blatt2!C293</f>
        <v/>
      </c>
      <c r="B292" t="str">
        <f>Blatt3!C293</f>
        <v/>
      </c>
      <c r="C292" t="str">
        <f t="shared" si="4"/>
        <v/>
      </c>
    </row>
    <row r="293" spans="1:3" x14ac:dyDescent="0.35">
      <c r="A293" t="str">
        <f>Blatt2!C294</f>
        <v/>
      </c>
      <c r="B293" t="str">
        <f>Blatt3!C294</f>
        <v/>
      </c>
      <c r="C293" t="str">
        <f t="shared" si="4"/>
        <v/>
      </c>
    </row>
    <row r="294" spans="1:3" x14ac:dyDescent="0.35">
      <c r="A294" t="str">
        <f>Blatt2!C295</f>
        <v/>
      </c>
      <c r="B294" t="str">
        <f>Blatt3!C295</f>
        <v/>
      </c>
      <c r="C294" t="str">
        <f t="shared" si="4"/>
        <v/>
      </c>
    </row>
    <row r="295" spans="1:3" x14ac:dyDescent="0.35">
      <c r="A295" t="str">
        <f>Blatt2!C296</f>
        <v/>
      </c>
      <c r="B295" t="str">
        <f>Blatt3!C296</f>
        <v/>
      </c>
      <c r="C295" t="str">
        <f t="shared" si="4"/>
        <v/>
      </c>
    </row>
    <row r="296" spans="1:3" x14ac:dyDescent="0.35">
      <c r="A296" t="str">
        <f>Blatt2!C297</f>
        <v/>
      </c>
      <c r="B296" t="str">
        <f>Blatt3!C297</f>
        <v/>
      </c>
      <c r="C296" t="str">
        <f t="shared" si="4"/>
        <v/>
      </c>
    </row>
    <row r="297" spans="1:3" x14ac:dyDescent="0.35">
      <c r="A297" t="str">
        <f>Blatt2!C298</f>
        <v/>
      </c>
      <c r="B297" t="str">
        <f>Blatt3!C298</f>
        <v/>
      </c>
      <c r="C297" t="str">
        <f t="shared" si="4"/>
        <v/>
      </c>
    </row>
    <row r="298" spans="1:3" x14ac:dyDescent="0.35">
      <c r="A298" t="str">
        <f>Blatt2!C299</f>
        <v/>
      </c>
      <c r="B298" t="str">
        <f>Blatt3!C299</f>
        <v/>
      </c>
      <c r="C298" t="str">
        <f t="shared" si="4"/>
        <v/>
      </c>
    </row>
    <row r="299" spans="1:3" x14ac:dyDescent="0.35">
      <c r="A299" t="str">
        <f>Blatt2!C300</f>
        <v/>
      </c>
      <c r="B299" t="str">
        <f>Blatt3!C300</f>
        <v/>
      </c>
      <c r="C299" t="str">
        <f t="shared" si="4"/>
        <v/>
      </c>
    </row>
    <row r="300" spans="1:3" x14ac:dyDescent="0.35">
      <c r="A300" t="str">
        <f>Blatt2!C301</f>
        <v/>
      </c>
      <c r="B300" t="str">
        <f>Blatt3!C301</f>
        <v/>
      </c>
      <c r="C300" t="str">
        <f t="shared" si="4"/>
        <v/>
      </c>
    </row>
    <row r="301" spans="1:3" x14ac:dyDescent="0.35">
      <c r="A301" t="str">
        <f>Blatt2!C302</f>
        <v/>
      </c>
      <c r="B301" t="str">
        <f>Blatt3!C302</f>
        <v/>
      </c>
      <c r="C301" t="str">
        <f t="shared" si="4"/>
        <v/>
      </c>
    </row>
    <row r="302" spans="1:3" x14ac:dyDescent="0.35">
      <c r="A302" t="str">
        <f>Blatt2!C303</f>
        <v/>
      </c>
      <c r="B302" t="str">
        <f>Blatt3!C303</f>
        <v/>
      </c>
      <c r="C302" t="str">
        <f t="shared" si="4"/>
        <v/>
      </c>
    </row>
    <row r="303" spans="1:3" x14ac:dyDescent="0.35">
      <c r="A303" t="str">
        <f>Blatt2!C304</f>
        <v/>
      </c>
      <c r="B303" t="str">
        <f>Blatt3!C304</f>
        <v/>
      </c>
      <c r="C303" t="str">
        <f t="shared" si="4"/>
        <v/>
      </c>
    </row>
    <row r="304" spans="1:3" x14ac:dyDescent="0.35">
      <c r="A304" t="str">
        <f>Blatt2!C305</f>
        <v/>
      </c>
      <c r="B304" t="str">
        <f>Blatt3!C305</f>
        <v/>
      </c>
      <c r="C304" t="str">
        <f t="shared" si="4"/>
        <v/>
      </c>
    </row>
    <row r="305" spans="1:3" x14ac:dyDescent="0.35">
      <c r="A305" t="str">
        <f>Blatt2!C306</f>
        <v/>
      </c>
      <c r="B305" t="str">
        <f>Blatt3!C306</f>
        <v/>
      </c>
      <c r="C305" t="str">
        <f t="shared" si="4"/>
        <v/>
      </c>
    </row>
    <row r="306" spans="1:3" x14ac:dyDescent="0.35">
      <c r="A306" t="str">
        <f>Blatt2!C307</f>
        <v/>
      </c>
      <c r="B306" t="str">
        <f>Blatt3!C307</f>
        <v/>
      </c>
      <c r="C306" t="str">
        <f t="shared" si="4"/>
        <v/>
      </c>
    </row>
    <row r="307" spans="1:3" x14ac:dyDescent="0.35">
      <c r="A307" t="str">
        <f>Blatt2!C308</f>
        <v/>
      </c>
      <c r="B307" t="str">
        <f>Blatt3!C308</f>
        <v/>
      </c>
      <c r="C307" t="str">
        <f t="shared" si="4"/>
        <v/>
      </c>
    </row>
    <row r="308" spans="1:3" x14ac:dyDescent="0.35">
      <c r="A308" t="str">
        <f>Blatt2!C309</f>
        <v/>
      </c>
      <c r="B308" t="str">
        <f>Blatt3!C309</f>
        <v/>
      </c>
      <c r="C308" t="str">
        <f t="shared" si="4"/>
        <v/>
      </c>
    </row>
    <row r="309" spans="1:3" x14ac:dyDescent="0.35">
      <c r="A309" t="str">
        <f>Blatt2!C310</f>
        <v/>
      </c>
      <c r="B309" t="str">
        <f>Blatt3!C310</f>
        <v/>
      </c>
      <c r="C309" t="str">
        <f t="shared" si="4"/>
        <v/>
      </c>
    </row>
    <row r="310" spans="1:3" x14ac:dyDescent="0.35">
      <c r="A310" t="str">
        <f>Blatt2!C311</f>
        <v/>
      </c>
      <c r="B310" t="str">
        <f>Blatt3!C311</f>
        <v/>
      </c>
      <c r="C310" t="str">
        <f t="shared" si="4"/>
        <v/>
      </c>
    </row>
    <row r="311" spans="1:3" x14ac:dyDescent="0.35">
      <c r="A311" t="str">
        <f>Blatt2!C312</f>
        <v/>
      </c>
      <c r="B311" t="str">
        <f>Blatt3!C312</f>
        <v/>
      </c>
      <c r="C311" t="str">
        <f t="shared" si="4"/>
        <v/>
      </c>
    </row>
    <row r="312" spans="1:3" x14ac:dyDescent="0.35">
      <c r="A312" t="str">
        <f>Blatt2!C313</f>
        <v/>
      </c>
      <c r="B312" t="str">
        <f>Blatt3!C313</f>
        <v/>
      </c>
      <c r="C312" t="str">
        <f t="shared" si="4"/>
        <v/>
      </c>
    </row>
    <row r="313" spans="1:3" x14ac:dyDescent="0.35">
      <c r="A313" t="str">
        <f>Blatt2!C314</f>
        <v/>
      </c>
      <c r="B313" t="str">
        <f>Blatt3!C314</f>
        <v/>
      </c>
      <c r="C313" t="str">
        <f t="shared" si="4"/>
        <v/>
      </c>
    </row>
    <row r="314" spans="1:3" x14ac:dyDescent="0.35">
      <c r="A314" t="str">
        <f>Blatt2!C315</f>
        <v/>
      </c>
      <c r="B314" t="str">
        <f>Blatt3!C315</f>
        <v/>
      </c>
      <c r="C314" t="str">
        <f t="shared" si="4"/>
        <v/>
      </c>
    </row>
    <row r="315" spans="1:3" x14ac:dyDescent="0.35">
      <c r="A315" t="str">
        <f>Blatt2!C316</f>
        <v/>
      </c>
      <c r="B315" t="str">
        <f>Blatt3!C316</f>
        <v/>
      </c>
      <c r="C315" t="str">
        <f t="shared" si="4"/>
        <v/>
      </c>
    </row>
    <row r="316" spans="1:3" x14ac:dyDescent="0.35">
      <c r="A316" t="str">
        <f>Blatt2!C317</f>
        <v/>
      </c>
      <c r="B316" t="str">
        <f>Blatt3!C317</f>
        <v/>
      </c>
      <c r="C316" t="str">
        <f t="shared" si="4"/>
        <v/>
      </c>
    </row>
    <row r="317" spans="1:3" x14ac:dyDescent="0.35">
      <c r="A317" t="str">
        <f>Blatt2!C318</f>
        <v/>
      </c>
      <c r="B317" t="str">
        <f>Blatt3!C318</f>
        <v/>
      </c>
      <c r="C317" t="str">
        <f t="shared" si="4"/>
        <v/>
      </c>
    </row>
    <row r="318" spans="1:3" x14ac:dyDescent="0.35">
      <c r="A318" t="str">
        <f>Blatt2!C319</f>
        <v/>
      </c>
      <c r="B318" t="str">
        <f>Blatt3!C319</f>
        <v/>
      </c>
      <c r="C318" t="str">
        <f t="shared" si="4"/>
        <v/>
      </c>
    </row>
    <row r="319" spans="1:3" x14ac:dyDescent="0.35">
      <c r="A319" t="str">
        <f>Blatt2!C320</f>
        <v/>
      </c>
      <c r="B319" t="str">
        <f>Blatt3!C320</f>
        <v/>
      </c>
      <c r="C319" t="str">
        <f t="shared" si="4"/>
        <v/>
      </c>
    </row>
    <row r="320" spans="1:3" x14ac:dyDescent="0.35">
      <c r="A320" t="str">
        <f>Blatt2!C321</f>
        <v/>
      </c>
      <c r="B320" t="str">
        <f>Blatt3!C321</f>
        <v/>
      </c>
      <c r="C320" t="str">
        <f t="shared" si="4"/>
        <v/>
      </c>
    </row>
    <row r="321" spans="1:3" x14ac:dyDescent="0.35">
      <c r="A321" t="str">
        <f>Blatt2!C322</f>
        <v/>
      </c>
      <c r="B321" t="str">
        <f>Blatt3!C322</f>
        <v/>
      </c>
      <c r="C321" t="str">
        <f t="shared" si="4"/>
        <v/>
      </c>
    </row>
    <row r="322" spans="1:3" x14ac:dyDescent="0.35">
      <c r="A322" t="str">
        <f>Blatt2!C323</f>
        <v/>
      </c>
      <c r="B322" t="str">
        <f>Blatt3!C323</f>
        <v/>
      </c>
      <c r="C322" t="str">
        <f t="shared" ref="C322:C360" si="5">IF(B322="","",ROW())</f>
        <v/>
      </c>
    </row>
    <row r="323" spans="1:3" x14ac:dyDescent="0.35">
      <c r="A323" t="str">
        <f>Blatt2!C324</f>
        <v/>
      </c>
      <c r="B323" t="str">
        <f>Blatt3!C324</f>
        <v/>
      </c>
      <c r="C323" t="str">
        <f t="shared" si="5"/>
        <v/>
      </c>
    </row>
    <row r="324" spans="1:3" x14ac:dyDescent="0.35">
      <c r="A324" t="str">
        <f>Blatt2!C325</f>
        <v/>
      </c>
      <c r="B324" t="str">
        <f>Blatt3!C325</f>
        <v/>
      </c>
      <c r="C324" t="str">
        <f t="shared" si="5"/>
        <v/>
      </c>
    </row>
    <row r="325" spans="1:3" x14ac:dyDescent="0.35">
      <c r="A325" t="str">
        <f>Blatt2!C326</f>
        <v/>
      </c>
      <c r="B325" t="str">
        <f>Blatt3!C326</f>
        <v/>
      </c>
      <c r="C325" t="str">
        <f t="shared" si="5"/>
        <v/>
      </c>
    </row>
    <row r="326" spans="1:3" x14ac:dyDescent="0.35">
      <c r="A326" t="str">
        <f>Blatt2!C327</f>
        <v/>
      </c>
      <c r="B326" t="str">
        <f>Blatt3!C327</f>
        <v/>
      </c>
      <c r="C326" t="str">
        <f t="shared" si="5"/>
        <v/>
      </c>
    </row>
    <row r="327" spans="1:3" x14ac:dyDescent="0.35">
      <c r="A327" t="str">
        <f>Blatt2!C328</f>
        <v/>
      </c>
      <c r="B327" t="str">
        <f>Blatt3!C328</f>
        <v/>
      </c>
      <c r="C327" t="str">
        <f t="shared" si="5"/>
        <v/>
      </c>
    </row>
    <row r="328" spans="1:3" x14ac:dyDescent="0.35">
      <c r="A328" t="str">
        <f>Blatt2!C329</f>
        <v/>
      </c>
      <c r="B328" t="str">
        <f>Blatt3!C329</f>
        <v/>
      </c>
      <c r="C328" t="str">
        <f t="shared" si="5"/>
        <v/>
      </c>
    </row>
    <row r="329" spans="1:3" x14ac:dyDescent="0.35">
      <c r="A329" t="str">
        <f>Blatt2!C330</f>
        <v/>
      </c>
      <c r="B329" t="str">
        <f>Blatt3!C330</f>
        <v/>
      </c>
      <c r="C329" t="str">
        <f t="shared" si="5"/>
        <v/>
      </c>
    </row>
    <row r="330" spans="1:3" x14ac:dyDescent="0.35">
      <c r="A330" t="str">
        <f>Blatt2!C331</f>
        <v/>
      </c>
      <c r="B330" t="str">
        <f>Blatt3!C331</f>
        <v/>
      </c>
      <c r="C330" t="str">
        <f t="shared" si="5"/>
        <v/>
      </c>
    </row>
    <row r="331" spans="1:3" x14ac:dyDescent="0.35">
      <c r="A331" t="str">
        <f>Blatt2!C332</f>
        <v/>
      </c>
      <c r="B331" t="str">
        <f>Blatt3!C332</f>
        <v/>
      </c>
      <c r="C331" t="str">
        <f t="shared" si="5"/>
        <v/>
      </c>
    </row>
    <row r="332" spans="1:3" x14ac:dyDescent="0.35">
      <c r="A332" t="str">
        <f>Blatt2!C333</f>
        <v/>
      </c>
      <c r="B332" t="str">
        <f>Blatt3!C333</f>
        <v/>
      </c>
      <c r="C332" t="str">
        <f t="shared" si="5"/>
        <v/>
      </c>
    </row>
    <row r="333" spans="1:3" x14ac:dyDescent="0.35">
      <c r="A333" t="str">
        <f>Blatt2!C334</f>
        <v/>
      </c>
      <c r="B333" t="str">
        <f>Blatt3!C334</f>
        <v/>
      </c>
      <c r="C333" t="str">
        <f t="shared" si="5"/>
        <v/>
      </c>
    </row>
    <row r="334" spans="1:3" x14ac:dyDescent="0.35">
      <c r="A334" t="str">
        <f>Blatt2!C335</f>
        <v/>
      </c>
      <c r="B334" t="str">
        <f>Blatt3!C335</f>
        <v/>
      </c>
      <c r="C334" t="str">
        <f t="shared" si="5"/>
        <v/>
      </c>
    </row>
    <row r="335" spans="1:3" x14ac:dyDescent="0.35">
      <c r="A335" t="str">
        <f>Blatt2!C336</f>
        <v/>
      </c>
      <c r="B335" t="str">
        <f>Blatt3!C336</f>
        <v/>
      </c>
      <c r="C335" t="str">
        <f t="shared" si="5"/>
        <v/>
      </c>
    </row>
    <row r="336" spans="1:3" x14ac:dyDescent="0.35">
      <c r="A336" t="str">
        <f>Blatt2!C337</f>
        <v/>
      </c>
      <c r="B336" t="str">
        <f>Blatt3!C337</f>
        <v/>
      </c>
      <c r="C336" t="str">
        <f t="shared" si="5"/>
        <v/>
      </c>
    </row>
    <row r="337" spans="1:3" x14ac:dyDescent="0.35">
      <c r="A337" t="str">
        <f>Blatt2!C338</f>
        <v/>
      </c>
      <c r="B337" t="str">
        <f>Blatt3!C338</f>
        <v/>
      </c>
      <c r="C337" t="str">
        <f t="shared" si="5"/>
        <v/>
      </c>
    </row>
    <row r="338" spans="1:3" x14ac:dyDescent="0.35">
      <c r="A338" t="str">
        <f>Blatt2!C339</f>
        <v/>
      </c>
      <c r="B338" t="str">
        <f>Blatt3!C339</f>
        <v/>
      </c>
      <c r="C338" t="str">
        <f t="shared" si="5"/>
        <v/>
      </c>
    </row>
    <row r="339" spans="1:3" x14ac:dyDescent="0.35">
      <c r="A339" t="str">
        <f>Blatt2!C340</f>
        <v/>
      </c>
      <c r="B339" t="str">
        <f>Blatt3!C340</f>
        <v/>
      </c>
      <c r="C339" t="str">
        <f t="shared" si="5"/>
        <v/>
      </c>
    </row>
    <row r="340" spans="1:3" x14ac:dyDescent="0.35">
      <c r="A340" t="str">
        <f>Blatt2!C341</f>
        <v/>
      </c>
      <c r="B340" t="str">
        <f>Blatt3!C341</f>
        <v/>
      </c>
      <c r="C340" t="str">
        <f t="shared" si="5"/>
        <v/>
      </c>
    </row>
    <row r="341" spans="1:3" x14ac:dyDescent="0.35">
      <c r="A341" t="str">
        <f>Blatt2!C342</f>
        <v/>
      </c>
      <c r="B341" t="str">
        <f>Blatt3!C342</f>
        <v/>
      </c>
      <c r="C341" t="str">
        <f t="shared" si="5"/>
        <v/>
      </c>
    </row>
    <row r="342" spans="1:3" x14ac:dyDescent="0.35">
      <c r="A342" t="str">
        <f>Blatt2!C343</f>
        <v/>
      </c>
      <c r="B342" t="str">
        <f>Blatt3!C343</f>
        <v/>
      </c>
      <c r="C342" t="str">
        <f t="shared" si="5"/>
        <v/>
      </c>
    </row>
    <row r="343" spans="1:3" x14ac:dyDescent="0.35">
      <c r="A343" t="str">
        <f>Blatt2!C344</f>
        <v/>
      </c>
      <c r="B343" t="str">
        <f>Blatt3!C344</f>
        <v/>
      </c>
      <c r="C343" t="str">
        <f t="shared" si="5"/>
        <v/>
      </c>
    </row>
    <row r="344" spans="1:3" x14ac:dyDescent="0.35">
      <c r="A344" t="str">
        <f>Blatt2!C345</f>
        <v/>
      </c>
      <c r="B344" t="str">
        <f>Blatt3!C345</f>
        <v/>
      </c>
      <c r="C344" t="str">
        <f t="shared" si="5"/>
        <v/>
      </c>
    </row>
    <row r="345" spans="1:3" x14ac:dyDescent="0.35">
      <c r="A345" t="str">
        <f>Blatt2!C346</f>
        <v/>
      </c>
      <c r="B345" t="str">
        <f>Blatt3!C346</f>
        <v/>
      </c>
      <c r="C345" t="str">
        <f t="shared" si="5"/>
        <v/>
      </c>
    </row>
    <row r="346" spans="1:3" x14ac:dyDescent="0.35">
      <c r="A346" t="str">
        <f>Blatt2!C347</f>
        <v/>
      </c>
      <c r="B346" t="str">
        <f>Blatt3!C347</f>
        <v/>
      </c>
      <c r="C346" t="str">
        <f t="shared" si="5"/>
        <v/>
      </c>
    </row>
    <row r="347" spans="1:3" x14ac:dyDescent="0.35">
      <c r="A347" t="str">
        <f>Blatt2!C348</f>
        <v/>
      </c>
      <c r="B347" t="str">
        <f>Blatt3!C348</f>
        <v/>
      </c>
      <c r="C347" t="str">
        <f t="shared" si="5"/>
        <v/>
      </c>
    </row>
    <row r="348" spans="1:3" x14ac:dyDescent="0.35">
      <c r="A348" t="str">
        <f>Blatt2!C349</f>
        <v/>
      </c>
      <c r="B348" t="str">
        <f>Blatt3!C349</f>
        <v/>
      </c>
      <c r="C348" t="str">
        <f t="shared" si="5"/>
        <v/>
      </c>
    </row>
    <row r="349" spans="1:3" x14ac:dyDescent="0.35">
      <c r="A349" t="str">
        <f>Blatt2!C350</f>
        <v/>
      </c>
      <c r="B349" t="str">
        <f>Blatt3!C350</f>
        <v/>
      </c>
      <c r="C349" t="str">
        <f t="shared" si="5"/>
        <v/>
      </c>
    </row>
    <row r="350" spans="1:3" x14ac:dyDescent="0.35">
      <c r="A350" t="str">
        <f>Blatt2!C351</f>
        <v/>
      </c>
      <c r="B350" t="str">
        <f>Blatt3!C351</f>
        <v/>
      </c>
      <c r="C350" t="str">
        <f t="shared" si="5"/>
        <v/>
      </c>
    </row>
    <row r="351" spans="1:3" x14ac:dyDescent="0.35">
      <c r="A351" t="str">
        <f>Blatt2!C352</f>
        <v/>
      </c>
      <c r="B351" t="str">
        <f>Blatt3!C352</f>
        <v/>
      </c>
      <c r="C351" t="str">
        <f t="shared" si="5"/>
        <v/>
      </c>
    </row>
    <row r="352" spans="1:3" x14ac:dyDescent="0.35">
      <c r="A352" t="str">
        <f>Blatt2!C353</f>
        <v/>
      </c>
      <c r="B352" t="str">
        <f>Blatt3!C353</f>
        <v/>
      </c>
      <c r="C352" t="str">
        <f t="shared" si="5"/>
        <v/>
      </c>
    </row>
    <row r="353" spans="1:3" x14ac:dyDescent="0.35">
      <c r="A353" t="str">
        <f>Blatt2!C354</f>
        <v/>
      </c>
      <c r="B353" t="str">
        <f>Blatt3!C354</f>
        <v/>
      </c>
      <c r="C353" t="str">
        <f t="shared" si="5"/>
        <v/>
      </c>
    </row>
    <row r="354" spans="1:3" x14ac:dyDescent="0.35">
      <c r="A354" t="str">
        <f>Blatt2!C355</f>
        <v/>
      </c>
      <c r="B354" t="str">
        <f>Blatt3!C355</f>
        <v/>
      </c>
      <c r="C354" t="str">
        <f t="shared" si="5"/>
        <v/>
      </c>
    </row>
    <row r="355" spans="1:3" x14ac:dyDescent="0.35">
      <c r="A355" t="str">
        <f>Blatt2!C356</f>
        <v/>
      </c>
      <c r="B355" t="str">
        <f>Blatt3!C356</f>
        <v/>
      </c>
      <c r="C355" t="str">
        <f t="shared" si="5"/>
        <v/>
      </c>
    </row>
    <row r="356" spans="1:3" x14ac:dyDescent="0.35">
      <c r="A356" t="str">
        <f>Blatt2!C357</f>
        <v/>
      </c>
      <c r="B356" t="str">
        <f>Blatt3!C357</f>
        <v/>
      </c>
      <c r="C356" t="str">
        <f t="shared" si="5"/>
        <v/>
      </c>
    </row>
    <row r="357" spans="1:3" x14ac:dyDescent="0.35">
      <c r="A357" t="str">
        <f>Blatt2!C358</f>
        <v/>
      </c>
      <c r="B357" t="str">
        <f>Blatt3!C358</f>
        <v/>
      </c>
      <c r="C357" t="str">
        <f t="shared" si="5"/>
        <v/>
      </c>
    </row>
    <row r="358" spans="1:3" x14ac:dyDescent="0.35">
      <c r="A358" t="str">
        <f>Blatt2!C359</f>
        <v/>
      </c>
      <c r="B358" t="str">
        <f>Blatt3!C359</f>
        <v/>
      </c>
      <c r="C358" t="str">
        <f t="shared" si="5"/>
        <v/>
      </c>
    </row>
    <row r="359" spans="1:3" x14ac:dyDescent="0.35">
      <c r="A359" t="str">
        <f>Blatt2!C360</f>
        <v/>
      </c>
      <c r="B359" t="str">
        <f>Blatt3!C360</f>
        <v/>
      </c>
      <c r="C359" t="str">
        <f t="shared" si="5"/>
        <v/>
      </c>
    </row>
    <row r="360" spans="1:3" x14ac:dyDescent="0.35">
      <c r="A360" t="str">
        <f>Blatt2!C361</f>
        <v/>
      </c>
      <c r="B360" t="str">
        <f>Blatt3!C361</f>
        <v/>
      </c>
      <c r="C360" t="str">
        <f t="shared" si="5"/>
        <v/>
      </c>
    </row>
    <row r="361" spans="1:3" x14ac:dyDescent="0.35">
      <c r="A361" t="str">
        <f>Blatt2!C362</f>
        <v/>
      </c>
    </row>
    <row r="362" spans="1:3" x14ac:dyDescent="0.35">
      <c r="A362" t="str">
        <f>Blatt2!C363</f>
        <v/>
      </c>
    </row>
    <row r="363" spans="1:3" x14ac:dyDescent="0.35">
      <c r="A363" t="str">
        <f>Blatt2!C364</f>
        <v/>
      </c>
    </row>
    <row r="364" spans="1:3" x14ac:dyDescent="0.35">
      <c r="A364" t="str">
        <f>Blatt2!C365</f>
        <v/>
      </c>
    </row>
    <row r="365" spans="1:3" x14ac:dyDescent="0.35">
      <c r="A365" t="str">
        <f>Blatt2!C366</f>
        <v/>
      </c>
    </row>
    <row r="366" spans="1:3" x14ac:dyDescent="0.35">
      <c r="A366" t="str">
        <f>Blatt2!C367</f>
        <v/>
      </c>
    </row>
    <row r="367" spans="1:3" x14ac:dyDescent="0.35">
      <c r="A367" t="str">
        <f>Blatt2!C368</f>
        <v/>
      </c>
    </row>
    <row r="368" spans="1:3" x14ac:dyDescent="0.35">
      <c r="A368" t="str">
        <f>Blatt2!C369</f>
        <v/>
      </c>
    </row>
    <row r="369" spans="1:1" x14ac:dyDescent="0.35">
      <c r="A369" t="str">
        <f>Blatt2!C370</f>
        <v/>
      </c>
    </row>
    <row r="370" spans="1:1" x14ac:dyDescent="0.35">
      <c r="A370" t="str">
        <f>Blatt2!C371</f>
        <v/>
      </c>
    </row>
    <row r="371" spans="1:1" x14ac:dyDescent="0.35">
      <c r="A371" t="str">
        <f>Blatt2!C372</f>
        <v/>
      </c>
    </row>
    <row r="372" spans="1:1" x14ac:dyDescent="0.35">
      <c r="A372" t="str">
        <f>Blatt2!C373</f>
        <v/>
      </c>
    </row>
    <row r="373" spans="1:1" x14ac:dyDescent="0.35">
      <c r="A373" t="str">
        <f>Blatt2!C374</f>
        <v/>
      </c>
    </row>
    <row r="374" spans="1:1" x14ac:dyDescent="0.35">
      <c r="A374" t="str">
        <f>Blatt2!C375</f>
        <v/>
      </c>
    </row>
    <row r="375" spans="1:1" x14ac:dyDescent="0.35">
      <c r="A375" t="str">
        <f>Blatt2!C376</f>
        <v/>
      </c>
    </row>
    <row r="376" spans="1:1" x14ac:dyDescent="0.35">
      <c r="A376" t="str">
        <f>Blatt2!C377</f>
        <v/>
      </c>
    </row>
    <row r="377" spans="1:1" x14ac:dyDescent="0.35">
      <c r="A377" t="str">
        <f>Blatt2!C378</f>
        <v/>
      </c>
    </row>
    <row r="378" spans="1:1" x14ac:dyDescent="0.35">
      <c r="A378" t="str">
        <f>Blatt2!C379</f>
        <v/>
      </c>
    </row>
    <row r="379" spans="1:1" x14ac:dyDescent="0.35">
      <c r="A379" t="str">
        <f>Blatt2!C380</f>
        <v/>
      </c>
    </row>
    <row r="380" spans="1:1" x14ac:dyDescent="0.35">
      <c r="A380" t="str">
        <f>Blatt2!C381</f>
        <v/>
      </c>
    </row>
    <row r="381" spans="1:1" x14ac:dyDescent="0.35">
      <c r="A381" t="str">
        <f>Blatt2!C382</f>
        <v/>
      </c>
    </row>
    <row r="382" spans="1:1" x14ac:dyDescent="0.35">
      <c r="A382" t="str">
        <f>Blatt2!C383</f>
        <v/>
      </c>
    </row>
    <row r="383" spans="1:1" x14ac:dyDescent="0.35">
      <c r="A383" t="str">
        <f>Blatt2!C384</f>
        <v/>
      </c>
    </row>
    <row r="384" spans="1:1" x14ac:dyDescent="0.35">
      <c r="A384" t="str">
        <f>Blatt2!C385</f>
        <v/>
      </c>
    </row>
    <row r="385" spans="1:1" x14ac:dyDescent="0.35">
      <c r="A385" t="str">
        <f>Blatt2!C386</f>
        <v/>
      </c>
    </row>
    <row r="386" spans="1:1" x14ac:dyDescent="0.35">
      <c r="A386" t="str">
        <f>Blatt2!C387</f>
        <v/>
      </c>
    </row>
    <row r="387" spans="1:1" x14ac:dyDescent="0.35">
      <c r="A387" t="str">
        <f>Blatt2!C388</f>
        <v/>
      </c>
    </row>
    <row r="388" spans="1:1" x14ac:dyDescent="0.35">
      <c r="A388" t="str">
        <f>Blatt2!C389</f>
        <v/>
      </c>
    </row>
    <row r="389" spans="1:1" x14ac:dyDescent="0.35">
      <c r="A389" t="str">
        <f>Blatt2!C390</f>
        <v/>
      </c>
    </row>
    <row r="390" spans="1:1" x14ac:dyDescent="0.35">
      <c r="A390" t="str">
        <f>Blatt2!C391</f>
        <v/>
      </c>
    </row>
    <row r="391" spans="1:1" x14ac:dyDescent="0.35">
      <c r="A391" t="str">
        <f>Blatt2!C392</f>
        <v/>
      </c>
    </row>
    <row r="392" spans="1:1" x14ac:dyDescent="0.35">
      <c r="A392" t="str">
        <f>Blatt2!C393</f>
        <v/>
      </c>
    </row>
    <row r="393" spans="1:1" x14ac:dyDescent="0.35">
      <c r="A393" t="str">
        <f>Blatt2!C394</f>
        <v/>
      </c>
    </row>
    <row r="394" spans="1:1" x14ac:dyDescent="0.35">
      <c r="A394" t="str">
        <f>Blatt2!C395</f>
        <v/>
      </c>
    </row>
    <row r="395" spans="1:1" x14ac:dyDescent="0.35">
      <c r="A395" t="str">
        <f>Blatt2!C396</f>
        <v/>
      </c>
    </row>
    <row r="396" spans="1:1" x14ac:dyDescent="0.35">
      <c r="A396" t="str">
        <f>Blatt2!C397</f>
        <v/>
      </c>
    </row>
    <row r="397" spans="1:1" x14ac:dyDescent="0.35">
      <c r="A397" t="str">
        <f>Blatt2!C398</f>
        <v/>
      </c>
    </row>
    <row r="398" spans="1:1" x14ac:dyDescent="0.35">
      <c r="A398" t="str">
        <f>Blatt2!C399</f>
        <v/>
      </c>
    </row>
    <row r="399" spans="1:1" x14ac:dyDescent="0.35">
      <c r="A399" t="str">
        <f>Blatt2!C400</f>
        <v/>
      </c>
    </row>
    <row r="400" spans="1:1" x14ac:dyDescent="0.35">
      <c r="A400" t="str">
        <f>Blatt2!C401</f>
        <v/>
      </c>
    </row>
    <row r="401" spans="1:1" x14ac:dyDescent="0.35">
      <c r="A401" t="str">
        <f>Blatt2!C402</f>
        <v/>
      </c>
    </row>
    <row r="402" spans="1:1" x14ac:dyDescent="0.35">
      <c r="A402" t="str">
        <f>Blatt2!C403</f>
        <v/>
      </c>
    </row>
    <row r="403" spans="1:1" x14ac:dyDescent="0.35">
      <c r="A403" t="str">
        <f>Blatt2!C404</f>
        <v/>
      </c>
    </row>
    <row r="404" spans="1:1" x14ac:dyDescent="0.35">
      <c r="A404" t="str">
        <f>Blatt2!C405</f>
        <v/>
      </c>
    </row>
    <row r="405" spans="1:1" x14ac:dyDescent="0.35">
      <c r="A405" t="str">
        <f>Blatt2!C406</f>
        <v/>
      </c>
    </row>
    <row r="406" spans="1:1" x14ac:dyDescent="0.35">
      <c r="A406" t="str">
        <f>Blatt2!C407</f>
        <v/>
      </c>
    </row>
    <row r="407" spans="1:1" x14ac:dyDescent="0.35">
      <c r="A407" t="str">
        <f>Blatt2!C408</f>
        <v/>
      </c>
    </row>
    <row r="408" spans="1:1" x14ac:dyDescent="0.35">
      <c r="A408" t="str">
        <f>Blatt2!C409</f>
        <v/>
      </c>
    </row>
    <row r="409" spans="1:1" x14ac:dyDescent="0.35">
      <c r="A409" t="str">
        <f>Blatt2!C410</f>
        <v/>
      </c>
    </row>
    <row r="410" spans="1:1" x14ac:dyDescent="0.35">
      <c r="A410" t="str">
        <f>Blatt2!C411</f>
        <v/>
      </c>
    </row>
    <row r="411" spans="1:1" x14ac:dyDescent="0.35">
      <c r="A411" t="str">
        <f>Blatt2!C412</f>
        <v/>
      </c>
    </row>
    <row r="412" spans="1:1" x14ac:dyDescent="0.35">
      <c r="A412" t="str">
        <f>Blatt2!C413</f>
        <v/>
      </c>
    </row>
    <row r="413" spans="1:1" x14ac:dyDescent="0.35">
      <c r="A413" t="str">
        <f>Blatt2!C414</f>
        <v/>
      </c>
    </row>
    <row r="414" spans="1:1" x14ac:dyDescent="0.35">
      <c r="A414" t="str">
        <f>Blatt2!C415</f>
        <v/>
      </c>
    </row>
    <row r="415" spans="1:1" x14ac:dyDescent="0.35">
      <c r="A415" t="str">
        <f>Blatt2!C416</f>
        <v/>
      </c>
    </row>
    <row r="416" spans="1:1" x14ac:dyDescent="0.35">
      <c r="A416" t="str">
        <f>Blatt2!C417</f>
        <v/>
      </c>
    </row>
    <row r="417" spans="1:1" x14ac:dyDescent="0.35">
      <c r="A417" t="str">
        <f>Blatt2!C418</f>
        <v/>
      </c>
    </row>
    <row r="418" spans="1:1" x14ac:dyDescent="0.35">
      <c r="A418" t="str">
        <f>Blatt2!C419</f>
        <v/>
      </c>
    </row>
    <row r="419" spans="1:1" x14ac:dyDescent="0.35">
      <c r="A419" t="str">
        <f>Blatt2!C420</f>
        <v/>
      </c>
    </row>
    <row r="420" spans="1:1" x14ac:dyDescent="0.35">
      <c r="A420" t="str">
        <f>Blatt2!C421</f>
        <v/>
      </c>
    </row>
    <row r="421" spans="1:1" x14ac:dyDescent="0.35">
      <c r="A421" t="str">
        <f>Blatt2!C422</f>
        <v/>
      </c>
    </row>
    <row r="422" spans="1:1" x14ac:dyDescent="0.35">
      <c r="A422" t="str">
        <f>Blatt2!C423</f>
        <v/>
      </c>
    </row>
    <row r="423" spans="1:1" x14ac:dyDescent="0.35">
      <c r="A423" t="str">
        <f>Blatt2!C424</f>
        <v/>
      </c>
    </row>
    <row r="424" spans="1:1" x14ac:dyDescent="0.35">
      <c r="A424" t="str">
        <f>Blatt2!C425</f>
        <v/>
      </c>
    </row>
    <row r="425" spans="1:1" x14ac:dyDescent="0.35">
      <c r="A425" t="str">
        <f>Blatt2!C426</f>
        <v/>
      </c>
    </row>
    <row r="426" spans="1:1" x14ac:dyDescent="0.35">
      <c r="A426" t="str">
        <f>Blatt2!C427</f>
        <v/>
      </c>
    </row>
    <row r="427" spans="1:1" x14ac:dyDescent="0.35">
      <c r="A427" t="str">
        <f>Blatt2!C428</f>
        <v/>
      </c>
    </row>
    <row r="428" spans="1:1" x14ac:dyDescent="0.35">
      <c r="A428" t="str">
        <f>Blatt2!C429</f>
        <v/>
      </c>
    </row>
    <row r="429" spans="1:1" x14ac:dyDescent="0.35">
      <c r="A429" t="str">
        <f>Blatt2!C430</f>
        <v/>
      </c>
    </row>
    <row r="430" spans="1:1" x14ac:dyDescent="0.35">
      <c r="A430" t="str">
        <f>Blatt2!C431</f>
        <v/>
      </c>
    </row>
    <row r="431" spans="1:1" x14ac:dyDescent="0.35">
      <c r="A431" t="str">
        <f>Blatt2!C432</f>
        <v/>
      </c>
    </row>
    <row r="432" spans="1:1" x14ac:dyDescent="0.35">
      <c r="A432" t="str">
        <f>Blatt2!C433</f>
        <v/>
      </c>
    </row>
    <row r="433" spans="1:1" x14ac:dyDescent="0.35">
      <c r="A433" t="str">
        <f>Blatt2!C434</f>
        <v/>
      </c>
    </row>
    <row r="434" spans="1:1" x14ac:dyDescent="0.35">
      <c r="A434" t="str">
        <f>Blatt2!C435</f>
        <v/>
      </c>
    </row>
    <row r="435" spans="1:1" x14ac:dyDescent="0.35">
      <c r="A435" t="str">
        <f>Blatt2!C436</f>
        <v/>
      </c>
    </row>
    <row r="436" spans="1:1" x14ac:dyDescent="0.35">
      <c r="A436" t="str">
        <f>Blatt2!C437</f>
        <v/>
      </c>
    </row>
    <row r="437" spans="1:1" x14ac:dyDescent="0.35">
      <c r="A437" t="str">
        <f>Blatt2!C438</f>
        <v/>
      </c>
    </row>
    <row r="438" spans="1:1" x14ac:dyDescent="0.35">
      <c r="A438" t="str">
        <f>Blatt2!C439</f>
        <v/>
      </c>
    </row>
    <row r="439" spans="1:1" x14ac:dyDescent="0.35">
      <c r="A439" t="str">
        <f>Blatt2!C440</f>
        <v/>
      </c>
    </row>
    <row r="440" spans="1:1" x14ac:dyDescent="0.35">
      <c r="A440" t="str">
        <f>Blatt2!C441</f>
        <v/>
      </c>
    </row>
    <row r="441" spans="1:1" x14ac:dyDescent="0.35">
      <c r="A441" t="str">
        <f>Blatt2!C442</f>
        <v/>
      </c>
    </row>
    <row r="442" spans="1:1" x14ac:dyDescent="0.35">
      <c r="A442" t="str">
        <f>Blatt2!C443</f>
        <v/>
      </c>
    </row>
    <row r="443" spans="1:1" x14ac:dyDescent="0.35">
      <c r="A443" t="str">
        <f>Blatt2!C444</f>
        <v/>
      </c>
    </row>
    <row r="444" spans="1:1" x14ac:dyDescent="0.35">
      <c r="A444" t="str">
        <f>Blatt2!C445</f>
        <v/>
      </c>
    </row>
    <row r="445" spans="1:1" x14ac:dyDescent="0.35">
      <c r="A445" t="str">
        <f>Blatt2!C446</f>
        <v/>
      </c>
    </row>
    <row r="446" spans="1:1" x14ac:dyDescent="0.35">
      <c r="A446" t="str">
        <f>Blatt2!C447</f>
        <v/>
      </c>
    </row>
    <row r="447" spans="1:1" x14ac:dyDescent="0.35">
      <c r="A447" t="str">
        <f>Blatt2!C448</f>
        <v/>
      </c>
    </row>
    <row r="448" spans="1:1" x14ac:dyDescent="0.35">
      <c r="A448" t="str">
        <f>Blatt2!C449</f>
        <v/>
      </c>
    </row>
    <row r="449" spans="1:1" x14ac:dyDescent="0.35">
      <c r="A449" t="str">
        <f>Blatt2!C450</f>
        <v/>
      </c>
    </row>
    <row r="450" spans="1:1" x14ac:dyDescent="0.35">
      <c r="A450" t="str">
        <f>Blatt2!C451</f>
        <v/>
      </c>
    </row>
    <row r="451" spans="1:1" x14ac:dyDescent="0.35">
      <c r="A451" t="str">
        <f>Blatt2!C452</f>
        <v/>
      </c>
    </row>
    <row r="452" spans="1:1" x14ac:dyDescent="0.35">
      <c r="A452" t="str">
        <f>Blatt2!C453</f>
        <v/>
      </c>
    </row>
    <row r="453" spans="1:1" x14ac:dyDescent="0.35">
      <c r="A453" t="str">
        <f>Blatt2!C454</f>
        <v/>
      </c>
    </row>
    <row r="454" spans="1:1" x14ac:dyDescent="0.35">
      <c r="A454" t="str">
        <f>Blatt2!C455</f>
        <v/>
      </c>
    </row>
    <row r="455" spans="1:1" x14ac:dyDescent="0.35">
      <c r="A455" t="str">
        <f>Blatt2!C456</f>
        <v/>
      </c>
    </row>
    <row r="456" spans="1:1" x14ac:dyDescent="0.35">
      <c r="A456" t="str">
        <f>Blatt2!C457</f>
        <v/>
      </c>
    </row>
    <row r="457" spans="1:1" x14ac:dyDescent="0.35">
      <c r="A457" t="str">
        <f>Blatt2!C458</f>
        <v/>
      </c>
    </row>
    <row r="458" spans="1:1" x14ac:dyDescent="0.35">
      <c r="A458" t="str">
        <f>Blatt2!C459</f>
        <v/>
      </c>
    </row>
    <row r="459" spans="1:1" x14ac:dyDescent="0.35">
      <c r="A459" t="str">
        <f>Blatt2!C460</f>
        <v/>
      </c>
    </row>
    <row r="460" spans="1:1" x14ac:dyDescent="0.35">
      <c r="A460" t="str">
        <f>Blatt2!C461</f>
        <v/>
      </c>
    </row>
    <row r="461" spans="1:1" x14ac:dyDescent="0.35">
      <c r="A461" t="str">
        <f>Blatt2!C462</f>
        <v/>
      </c>
    </row>
    <row r="462" spans="1:1" x14ac:dyDescent="0.35">
      <c r="A462" t="str">
        <f>Blatt2!C463</f>
        <v/>
      </c>
    </row>
    <row r="463" spans="1:1" x14ac:dyDescent="0.35">
      <c r="A463" t="str">
        <f>Blatt2!C464</f>
        <v/>
      </c>
    </row>
    <row r="464" spans="1:1" x14ac:dyDescent="0.35">
      <c r="A464" t="str">
        <f>Blatt2!C465</f>
        <v/>
      </c>
    </row>
    <row r="465" spans="1:1" x14ac:dyDescent="0.35">
      <c r="A465" t="str">
        <f>Blatt2!C466</f>
        <v/>
      </c>
    </row>
    <row r="466" spans="1:1" x14ac:dyDescent="0.35">
      <c r="A466" t="str">
        <f>Blatt2!C467</f>
        <v/>
      </c>
    </row>
    <row r="467" spans="1:1" x14ac:dyDescent="0.35">
      <c r="A467" t="str">
        <f>Blatt2!C468</f>
        <v/>
      </c>
    </row>
    <row r="468" spans="1:1" x14ac:dyDescent="0.35">
      <c r="A468" t="str">
        <f>Blatt2!C469</f>
        <v/>
      </c>
    </row>
    <row r="469" spans="1:1" x14ac:dyDescent="0.35">
      <c r="A469" t="str">
        <f>Blatt2!C470</f>
        <v/>
      </c>
    </row>
    <row r="470" spans="1:1" x14ac:dyDescent="0.35">
      <c r="A470" t="str">
        <f>Blatt2!C471</f>
        <v/>
      </c>
    </row>
    <row r="471" spans="1:1" x14ac:dyDescent="0.35">
      <c r="A471" t="str">
        <f>Blatt2!C472</f>
        <v/>
      </c>
    </row>
    <row r="472" spans="1:1" x14ac:dyDescent="0.35">
      <c r="A472" t="str">
        <f>Blatt2!C473</f>
        <v/>
      </c>
    </row>
    <row r="473" spans="1:1" x14ac:dyDescent="0.35">
      <c r="A473" t="str">
        <f>Blatt2!C474</f>
        <v/>
      </c>
    </row>
    <row r="474" spans="1:1" x14ac:dyDescent="0.35">
      <c r="A474" t="str">
        <f>Blatt2!C475</f>
        <v/>
      </c>
    </row>
    <row r="475" spans="1:1" x14ac:dyDescent="0.35">
      <c r="A475" t="str">
        <f>Blatt2!C476</f>
        <v/>
      </c>
    </row>
    <row r="476" spans="1:1" x14ac:dyDescent="0.35">
      <c r="A476" t="str">
        <f>Blatt2!C477</f>
        <v/>
      </c>
    </row>
    <row r="477" spans="1:1" x14ac:dyDescent="0.35">
      <c r="A477" t="str">
        <f>Blatt2!C478</f>
        <v/>
      </c>
    </row>
    <row r="478" spans="1:1" x14ac:dyDescent="0.35">
      <c r="A478" t="str">
        <f>Blatt2!C479</f>
        <v/>
      </c>
    </row>
    <row r="479" spans="1:1" x14ac:dyDescent="0.35">
      <c r="A479" t="str">
        <f>Blatt2!C480</f>
        <v/>
      </c>
    </row>
    <row r="480" spans="1:1" x14ac:dyDescent="0.35">
      <c r="A480" t="str">
        <f>Blatt2!C481</f>
        <v/>
      </c>
    </row>
    <row r="481" spans="1:1" x14ac:dyDescent="0.35">
      <c r="A481" t="str">
        <f>Blatt2!C482</f>
        <v/>
      </c>
    </row>
    <row r="482" spans="1:1" x14ac:dyDescent="0.35">
      <c r="A482" t="str">
        <f>Blatt2!C483</f>
        <v/>
      </c>
    </row>
    <row r="483" spans="1:1" x14ac:dyDescent="0.35">
      <c r="A483" t="str">
        <f>Blatt2!C484</f>
        <v/>
      </c>
    </row>
    <row r="623" spans="2:2" x14ac:dyDescent="0.35">
      <c r="B623" t="str">
        <f>Blatt3!C359</f>
        <v/>
      </c>
    </row>
    <row r="624" spans="2:2" x14ac:dyDescent="0.35">
      <c r="B624" t="str">
        <f>Blatt3!C360</f>
        <v/>
      </c>
    </row>
  </sheetData>
  <pageMargins left="0.7" right="0.7" top="0.78740157499999996" bottom="0.78740157499999996" header="0.3" footer="0.3"/>
</worksheet>
</file>

<file path=docMetadata/LabelInfo.xml><?xml version="1.0" encoding="utf-8"?>
<clbl:labelList xmlns:clbl="http://schemas.microsoft.com/office/2020/mipLabelMetadata">
  <clbl:label id="{04f34883-24f0-422d-8b2c-045dbba17334}" enabled="1" method="Privileged" siteId="{09c229f8-d777-4589-b803-53df184d32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Anleitung!!!</vt:lpstr>
      <vt:lpstr>Blatt1</vt:lpstr>
      <vt:lpstr>Begriffe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Wallner</dc:creator>
  <cp:lastModifiedBy>Oliver Wallner</cp:lastModifiedBy>
  <dcterms:created xsi:type="dcterms:W3CDTF">2026-03-26T19:41:00Z</dcterms:created>
  <dcterms:modified xsi:type="dcterms:W3CDTF">2026-04-02T08:53:49Z</dcterms:modified>
</cp:coreProperties>
</file>